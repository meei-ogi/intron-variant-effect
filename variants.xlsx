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nnaweener/Desktop/Exp_SpAI_AG predictions/"/>
    </mc:Choice>
  </mc:AlternateContent>
  <xr:revisionPtr revIDLastSave="0" documentId="13_ncr:1_{C3115455-F1A2-DB49-B812-37F4FF212419}" xr6:coauthVersionLast="47" xr6:coauthVersionMax="47" xr10:uidLastSave="{00000000-0000-0000-0000-000000000000}"/>
  <bookViews>
    <workbookView xWindow="900" yWindow="500" windowWidth="27640" windowHeight="16340" xr2:uid="{1BBF3360-B604-8F46-80C1-0EAE1FF9AF18}"/>
  </bookViews>
  <sheets>
    <sheet name="variants" sheetId="1" r:id="rId1"/>
  </sheets>
  <definedNames>
    <definedName name="_xlnm._FilterDatabase" localSheetId="0" hidden="1">variants!$A$1:$AF$1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11" i="1" l="1"/>
  <c r="R677" i="1"/>
  <c r="R683" i="1" s="1"/>
  <c r="Q677" i="1"/>
  <c r="Q683" i="1" s="1"/>
  <c r="P677" i="1"/>
  <c r="N677" i="1"/>
  <c r="N681" i="1" s="1"/>
  <c r="M677" i="1"/>
  <c r="L677" i="1"/>
  <c r="J677" i="1"/>
  <c r="K370" i="1" s="1"/>
  <c r="H677" i="1"/>
  <c r="I378" i="1" s="1"/>
  <c r="S530" i="1"/>
  <c r="O530" i="1"/>
  <c r="S352" i="1"/>
  <c r="O352" i="1"/>
  <c r="S135" i="1"/>
  <c r="O135" i="1"/>
  <c r="S378" i="1"/>
  <c r="O378" i="1"/>
  <c r="S376" i="1"/>
  <c r="O376" i="1"/>
  <c r="S375" i="1"/>
  <c r="O375" i="1"/>
  <c r="S374" i="1"/>
  <c r="O374" i="1"/>
  <c r="S370" i="1"/>
  <c r="O370" i="1"/>
  <c r="S368" i="1"/>
  <c r="O368" i="1"/>
  <c r="S367" i="1"/>
  <c r="O367" i="1"/>
  <c r="S363" i="1"/>
  <c r="O363" i="1"/>
  <c r="S364" i="1"/>
  <c r="O364" i="1"/>
  <c r="S362" i="1"/>
  <c r="O362" i="1"/>
  <c r="S361" i="1"/>
  <c r="O361" i="1"/>
  <c r="S83" i="1"/>
  <c r="O83" i="1"/>
  <c r="S324" i="1"/>
  <c r="O324" i="1"/>
  <c r="S335" i="1"/>
  <c r="O335" i="1"/>
  <c r="S348" i="1"/>
  <c r="O348" i="1"/>
  <c r="S347" i="1"/>
  <c r="O347" i="1"/>
  <c r="S309" i="1"/>
  <c r="O309" i="1"/>
  <c r="S340" i="1"/>
  <c r="O340" i="1"/>
  <c r="S323" i="1"/>
  <c r="O323" i="1"/>
  <c r="S339" i="1"/>
  <c r="O339" i="1"/>
  <c r="S604" i="1"/>
  <c r="O604" i="1"/>
  <c r="S393" i="1"/>
  <c r="O393" i="1"/>
  <c r="S397" i="1"/>
  <c r="O397" i="1"/>
  <c r="S398" i="1"/>
  <c r="O398" i="1"/>
  <c r="S403" i="1"/>
  <c r="O403" i="1"/>
  <c r="S414" i="1"/>
  <c r="O414" i="1"/>
  <c r="S420" i="1"/>
  <c r="O420" i="1"/>
  <c r="S427" i="1"/>
  <c r="O427" i="1"/>
  <c r="S46" i="1"/>
  <c r="O46" i="1"/>
  <c r="S456" i="1"/>
  <c r="O456" i="1"/>
  <c r="S468" i="1"/>
  <c r="O468" i="1"/>
  <c r="S474" i="1"/>
  <c r="O474" i="1"/>
  <c r="S475" i="1"/>
  <c r="O475" i="1"/>
  <c r="S479" i="1"/>
  <c r="O479" i="1"/>
  <c r="S481" i="1"/>
  <c r="O481" i="1"/>
  <c r="S485" i="1"/>
  <c r="O485" i="1"/>
  <c r="S490" i="1"/>
  <c r="O490" i="1"/>
  <c r="S489" i="1"/>
  <c r="O489" i="1"/>
  <c r="S494" i="1"/>
  <c r="O494" i="1"/>
  <c r="S493" i="1"/>
  <c r="O493" i="1"/>
  <c r="S488" i="1"/>
  <c r="O488" i="1"/>
  <c r="S508" i="1"/>
  <c r="O508" i="1"/>
  <c r="S509" i="1"/>
  <c r="O509" i="1"/>
  <c r="S510" i="1"/>
  <c r="O510" i="1"/>
  <c r="S514" i="1"/>
  <c r="O514" i="1"/>
  <c r="S521" i="1"/>
  <c r="O521" i="1"/>
  <c r="S532" i="1"/>
  <c r="O532" i="1"/>
  <c r="S549" i="1"/>
  <c r="O549" i="1"/>
  <c r="S557" i="1"/>
  <c r="O557" i="1"/>
  <c r="S573" i="1"/>
  <c r="O573" i="1"/>
  <c r="S586" i="1"/>
  <c r="O586" i="1"/>
  <c r="S623" i="1"/>
  <c r="O623" i="1"/>
  <c r="S616" i="1"/>
  <c r="O616" i="1"/>
  <c r="S612" i="1"/>
  <c r="O612" i="1"/>
  <c r="S240" i="1"/>
  <c r="O240" i="1"/>
  <c r="S16" i="1"/>
  <c r="O16" i="1"/>
  <c r="S30" i="1"/>
  <c r="O30" i="1"/>
  <c r="S186" i="1"/>
  <c r="O186" i="1"/>
  <c r="S189" i="1"/>
  <c r="O189" i="1"/>
  <c r="S188" i="1"/>
  <c r="O188" i="1"/>
  <c r="S195" i="1"/>
  <c r="O195" i="1"/>
  <c r="S198" i="1"/>
  <c r="O198" i="1"/>
  <c r="S314" i="1"/>
  <c r="O314" i="1"/>
  <c r="S315" i="1"/>
  <c r="O315" i="1"/>
  <c r="S313" i="1"/>
  <c r="O313" i="1"/>
  <c r="S256" i="1"/>
  <c r="O256" i="1"/>
  <c r="S262" i="1"/>
  <c r="O262" i="1"/>
  <c r="S675" i="1"/>
  <c r="O675" i="1"/>
  <c r="S308" i="1"/>
  <c r="O308" i="1"/>
  <c r="S113" i="1"/>
  <c r="O113" i="1"/>
  <c r="S379" i="1"/>
  <c r="O379" i="1"/>
  <c r="S73" i="1"/>
  <c r="O73" i="1"/>
  <c r="S380" i="1"/>
  <c r="O380" i="1"/>
  <c r="S381" i="1"/>
  <c r="O381" i="1"/>
  <c r="S80" i="1"/>
  <c r="O80" i="1"/>
  <c r="S307" i="1"/>
  <c r="O307" i="1"/>
  <c r="S306" i="1"/>
  <c r="O306" i="1"/>
  <c r="S207" i="1"/>
  <c r="O207" i="1"/>
  <c r="S213" i="1"/>
  <c r="O213" i="1"/>
  <c r="S241" i="1"/>
  <c r="O241" i="1"/>
  <c r="S389" i="1"/>
  <c r="O389" i="1"/>
  <c r="S399" i="1"/>
  <c r="O399" i="1"/>
  <c r="S415" i="1"/>
  <c r="O415" i="1"/>
  <c r="S417" i="1"/>
  <c r="O417" i="1"/>
  <c r="S418" i="1"/>
  <c r="O418" i="1"/>
  <c r="S155" i="1"/>
  <c r="O155" i="1"/>
  <c r="S432" i="1"/>
  <c r="O432" i="1"/>
  <c r="S439" i="1"/>
  <c r="O439" i="1"/>
  <c r="S442" i="1"/>
  <c r="O442" i="1"/>
  <c r="S448" i="1"/>
  <c r="O448" i="1"/>
  <c r="S447" i="1"/>
  <c r="O447" i="1"/>
  <c r="S454" i="1"/>
  <c r="O454" i="1"/>
  <c r="S457" i="1"/>
  <c r="O457" i="1"/>
  <c r="S458" i="1"/>
  <c r="O458" i="1"/>
  <c r="S463" i="1"/>
  <c r="O463" i="1"/>
  <c r="S461" i="1"/>
  <c r="O461" i="1"/>
  <c r="S480" i="1"/>
  <c r="O480" i="1"/>
  <c r="S507" i="1"/>
  <c r="O507" i="1"/>
  <c r="S506" i="1"/>
  <c r="O506" i="1"/>
  <c r="S495" i="1"/>
  <c r="O495" i="1"/>
  <c r="S511" i="1"/>
  <c r="O511" i="1"/>
  <c r="S519" i="1"/>
  <c r="O519" i="1"/>
  <c r="S518" i="1"/>
  <c r="O518" i="1"/>
  <c r="S522" i="1"/>
  <c r="O522" i="1"/>
  <c r="S528" i="1"/>
  <c r="O528" i="1"/>
  <c r="S529" i="1"/>
  <c r="O529" i="1"/>
  <c r="S544" i="1"/>
  <c r="O544" i="1"/>
  <c r="S552" i="1"/>
  <c r="O552" i="1"/>
  <c r="S567" i="1"/>
  <c r="O567" i="1"/>
  <c r="S565" i="1"/>
  <c r="O565" i="1"/>
  <c r="S561" i="1"/>
  <c r="O561" i="1"/>
  <c r="S596" i="1"/>
  <c r="O596" i="1"/>
  <c r="S602" i="1"/>
  <c r="O602" i="1"/>
  <c r="S629" i="1"/>
  <c r="O629" i="1"/>
  <c r="S625" i="1"/>
  <c r="O625" i="1"/>
  <c r="S614" i="1"/>
  <c r="O614" i="1"/>
  <c r="S230" i="1"/>
  <c r="O230" i="1"/>
  <c r="S229" i="1"/>
  <c r="O229" i="1"/>
  <c r="S101" i="1"/>
  <c r="O101" i="1"/>
  <c r="S192" i="1"/>
  <c r="O192" i="1"/>
  <c r="S253" i="1"/>
  <c r="O253" i="1"/>
  <c r="S273" i="1"/>
  <c r="O273" i="1"/>
  <c r="S202" i="1"/>
  <c r="O202" i="1"/>
  <c r="S206" i="1"/>
  <c r="O206" i="1"/>
  <c r="S90" i="1"/>
  <c r="O90" i="1"/>
  <c r="S216" i="1"/>
  <c r="O216" i="1"/>
  <c r="S219" i="1"/>
  <c r="O219" i="1"/>
  <c r="S250" i="1"/>
  <c r="O250" i="1"/>
  <c r="S242" i="1"/>
  <c r="O242" i="1"/>
  <c r="S197" i="1"/>
  <c r="O197" i="1"/>
  <c r="S320" i="1"/>
  <c r="O320" i="1"/>
  <c r="S321" i="1"/>
  <c r="O321" i="1"/>
  <c r="S245" i="1"/>
  <c r="O245" i="1"/>
  <c r="S211" i="1"/>
  <c r="O211" i="1"/>
  <c r="S212" i="1"/>
  <c r="O212" i="1"/>
  <c r="S215" i="1"/>
  <c r="O215" i="1"/>
  <c r="S220" i="1"/>
  <c r="O220" i="1"/>
  <c r="S221" i="1"/>
  <c r="O221" i="1"/>
  <c r="S53" i="1"/>
  <c r="O53" i="1"/>
  <c r="S62" i="1"/>
  <c r="O62" i="1"/>
  <c r="S194" i="1"/>
  <c r="O194" i="1"/>
  <c r="S47" i="1"/>
  <c r="O47" i="1"/>
  <c r="S606" i="1"/>
  <c r="O606" i="1"/>
  <c r="S386" i="1"/>
  <c r="O386" i="1"/>
  <c r="S400" i="1"/>
  <c r="O400" i="1"/>
  <c r="S401" i="1"/>
  <c r="O401" i="1"/>
  <c r="S434" i="1"/>
  <c r="O434" i="1"/>
  <c r="S443" i="1"/>
  <c r="O443" i="1"/>
  <c r="S455" i="1"/>
  <c r="O455" i="1"/>
  <c r="S453" i="1"/>
  <c r="O453" i="1"/>
  <c r="S459" i="1"/>
  <c r="O459" i="1"/>
  <c r="S484" i="1"/>
  <c r="O484" i="1"/>
  <c r="S513" i="1"/>
  <c r="O513" i="1"/>
  <c r="S139" i="1"/>
  <c r="O139" i="1"/>
  <c r="S558" i="1"/>
  <c r="O558" i="1"/>
  <c r="S86" i="1"/>
  <c r="O86" i="1"/>
  <c r="S603" i="1"/>
  <c r="O603" i="1"/>
  <c r="S621" i="1"/>
  <c r="O621" i="1"/>
  <c r="S626" i="1"/>
  <c r="O626" i="1"/>
  <c r="S254" i="1"/>
  <c r="O254" i="1"/>
  <c r="S36" i="1"/>
  <c r="O36" i="1"/>
  <c r="S258" i="1"/>
  <c r="O258" i="1"/>
  <c r="S263" i="1"/>
  <c r="O263" i="1"/>
  <c r="S265" i="1"/>
  <c r="O265" i="1"/>
  <c r="S264" i="1"/>
  <c r="O264" i="1"/>
  <c r="S266" i="1"/>
  <c r="O266" i="1"/>
  <c r="S267" i="1"/>
  <c r="O267" i="1"/>
  <c r="S44" i="1"/>
  <c r="O44" i="1"/>
  <c r="S268" i="1"/>
  <c r="O268" i="1"/>
  <c r="S269" i="1"/>
  <c r="O269" i="1"/>
  <c r="S260" i="1"/>
  <c r="O260" i="1"/>
  <c r="S332" i="1"/>
  <c r="O332" i="1"/>
  <c r="S305" i="1"/>
  <c r="O305" i="1"/>
  <c r="S79" i="1"/>
  <c r="O79" i="1"/>
  <c r="S121" i="1"/>
  <c r="O121" i="1"/>
  <c r="S303" i="1"/>
  <c r="O303" i="1"/>
  <c r="S304" i="1"/>
  <c r="O304" i="1"/>
  <c r="S39" i="1"/>
  <c r="O39" i="1"/>
  <c r="S71" i="1"/>
  <c r="O71" i="1"/>
  <c r="S251" i="1"/>
  <c r="O251" i="1"/>
  <c r="S252" i="1"/>
  <c r="O252" i="1"/>
  <c r="S607" i="1"/>
  <c r="O607" i="1"/>
  <c r="S605" i="1"/>
  <c r="O605" i="1"/>
  <c r="S383" i="1"/>
  <c r="O383" i="1"/>
  <c r="S384" i="1"/>
  <c r="O384" i="1"/>
  <c r="S387" i="1"/>
  <c r="O387" i="1"/>
  <c r="S390" i="1"/>
  <c r="O390" i="1"/>
  <c r="S395" i="1"/>
  <c r="O395" i="1"/>
  <c r="S396" i="1"/>
  <c r="O396" i="1"/>
  <c r="S412" i="1"/>
  <c r="O412" i="1"/>
  <c r="S160" i="1"/>
  <c r="O160" i="1"/>
  <c r="S438" i="1"/>
  <c r="O438" i="1"/>
  <c r="S473" i="1"/>
  <c r="O473" i="1"/>
  <c r="S477" i="1"/>
  <c r="O477" i="1"/>
  <c r="S482" i="1"/>
  <c r="O482" i="1"/>
  <c r="S496" i="1"/>
  <c r="O496" i="1"/>
  <c r="S512" i="1"/>
  <c r="O512" i="1"/>
  <c r="S525" i="1"/>
  <c r="O525" i="1"/>
  <c r="S535" i="1"/>
  <c r="O535" i="1"/>
  <c r="S555" i="1"/>
  <c r="O555" i="1"/>
  <c r="S553" i="1"/>
  <c r="O553" i="1"/>
  <c r="S576" i="1"/>
  <c r="O576" i="1"/>
  <c r="S575" i="1"/>
  <c r="O575" i="1"/>
  <c r="S574" i="1"/>
  <c r="O574" i="1"/>
  <c r="S570" i="1"/>
  <c r="O570" i="1"/>
  <c r="S569" i="1"/>
  <c r="O569" i="1"/>
  <c r="S566" i="1"/>
  <c r="O566" i="1"/>
  <c r="S562" i="1"/>
  <c r="O562" i="1"/>
  <c r="S146" i="1"/>
  <c r="O146" i="1"/>
  <c r="S584" i="1"/>
  <c r="O584" i="1"/>
  <c r="S588" i="1"/>
  <c r="O588" i="1"/>
  <c r="S634" i="1"/>
  <c r="O634" i="1"/>
  <c r="S210" i="1"/>
  <c r="O210" i="1"/>
  <c r="S222" i="1"/>
  <c r="O222" i="1"/>
  <c r="S119" i="1"/>
  <c r="O119" i="1"/>
  <c r="S208" i="1"/>
  <c r="O208" i="1"/>
  <c r="S244" i="1"/>
  <c r="O244" i="1"/>
  <c r="S223" i="1"/>
  <c r="O223" i="1"/>
  <c r="S243" i="1"/>
  <c r="O243" i="1"/>
  <c r="S69" i="1"/>
  <c r="O69" i="1"/>
  <c r="S85" i="1"/>
  <c r="O85" i="1"/>
  <c r="S98" i="1"/>
  <c r="O98" i="1"/>
  <c r="S112" i="1"/>
  <c r="O112" i="1"/>
  <c r="S641" i="1"/>
  <c r="O641" i="1"/>
  <c r="S97" i="1"/>
  <c r="O97" i="1"/>
  <c r="S645" i="1"/>
  <c r="O645" i="1"/>
  <c r="S102" i="1"/>
  <c r="O102" i="1"/>
  <c r="S120" i="1"/>
  <c r="O120" i="1"/>
  <c r="S425" i="1"/>
  <c r="O425" i="1"/>
  <c r="S33" i="1"/>
  <c r="O33" i="1"/>
  <c r="S78" i="1"/>
  <c r="O78" i="1"/>
  <c r="S57" i="1"/>
  <c r="O57" i="1"/>
  <c r="S21" i="1"/>
  <c r="O21" i="1"/>
  <c r="S61" i="1"/>
  <c r="O61" i="1"/>
  <c r="S54" i="1"/>
  <c r="O54" i="1"/>
  <c r="S116" i="1"/>
  <c r="O116" i="1"/>
  <c r="S483" i="1"/>
  <c r="O483" i="1"/>
  <c r="S123" i="1"/>
  <c r="O123" i="1"/>
  <c r="S108" i="1"/>
  <c r="O108" i="1"/>
  <c r="S127" i="1"/>
  <c r="O127" i="1"/>
  <c r="S597" i="1"/>
  <c r="O597" i="1"/>
  <c r="S84" i="1"/>
  <c r="O84" i="1"/>
  <c r="S76" i="1"/>
  <c r="O76" i="1"/>
  <c r="S95" i="1"/>
  <c r="O95" i="1"/>
  <c r="S77" i="1"/>
  <c r="O77" i="1"/>
  <c r="S3" i="1"/>
  <c r="O3" i="1"/>
  <c r="S87" i="1"/>
  <c r="O87" i="1"/>
  <c r="S28" i="1"/>
  <c r="O28" i="1"/>
  <c r="S91" i="1"/>
  <c r="O91" i="1"/>
  <c r="S93" i="1"/>
  <c r="O93" i="1"/>
  <c r="S17" i="1"/>
  <c r="O17" i="1"/>
  <c r="S8" i="1"/>
  <c r="O8" i="1"/>
  <c r="S2" i="1"/>
  <c r="O2" i="1"/>
  <c r="S118" i="1"/>
  <c r="O118" i="1"/>
  <c r="S334" i="1"/>
  <c r="O334" i="1"/>
  <c r="S610" i="1"/>
  <c r="O610" i="1"/>
  <c r="S132" i="1"/>
  <c r="O132" i="1"/>
  <c r="S385" i="1"/>
  <c r="O385" i="1"/>
  <c r="S392" i="1"/>
  <c r="O392" i="1"/>
  <c r="S413" i="1"/>
  <c r="O413" i="1"/>
  <c r="S416" i="1"/>
  <c r="O416" i="1"/>
  <c r="S153" i="1"/>
  <c r="O153" i="1"/>
  <c r="S449" i="1"/>
  <c r="O449" i="1"/>
  <c r="S452" i="1"/>
  <c r="O452" i="1"/>
  <c r="S460" i="1"/>
  <c r="O460" i="1"/>
  <c r="S4" i="1"/>
  <c r="O4" i="1"/>
  <c r="S34" i="1"/>
  <c r="O34" i="1"/>
  <c r="S465" i="1"/>
  <c r="O465" i="1"/>
  <c r="S478" i="1"/>
  <c r="O478" i="1"/>
  <c r="S128" i="1"/>
  <c r="O128" i="1"/>
  <c r="S110" i="1"/>
  <c r="O110" i="1"/>
  <c r="S556" i="1"/>
  <c r="O556" i="1"/>
  <c r="S583" i="1"/>
  <c r="O583" i="1"/>
  <c r="S598" i="1"/>
  <c r="O598" i="1"/>
  <c r="S94" i="1"/>
  <c r="O94" i="1"/>
  <c r="S11" i="1"/>
  <c r="O11" i="1"/>
  <c r="S601" i="1"/>
  <c r="O601" i="1"/>
  <c r="S124" i="1"/>
  <c r="O124" i="1"/>
  <c r="S282" i="1"/>
  <c r="O282" i="1"/>
  <c r="S333" i="1"/>
  <c r="O333" i="1"/>
  <c r="S159" i="1"/>
  <c r="O159" i="1"/>
  <c r="S15" i="1"/>
  <c r="O15" i="1"/>
  <c r="S45" i="1"/>
  <c r="O45" i="1"/>
  <c r="S667" i="1"/>
  <c r="O667" i="1"/>
  <c r="S668" i="1"/>
  <c r="O668" i="1"/>
  <c r="S669" i="1"/>
  <c r="O669" i="1"/>
  <c r="S670" i="1"/>
  <c r="O670" i="1"/>
  <c r="S106" i="1"/>
  <c r="O106" i="1"/>
  <c r="S671" i="1"/>
  <c r="O671" i="1"/>
  <c r="S672" i="1"/>
  <c r="O672" i="1"/>
  <c r="S673" i="1"/>
  <c r="O673" i="1"/>
  <c r="S665" i="1"/>
  <c r="O665" i="1"/>
  <c r="S664" i="1"/>
  <c r="O664" i="1"/>
  <c r="S129" i="1"/>
  <c r="O129" i="1"/>
  <c r="S663" i="1"/>
  <c r="O663" i="1"/>
  <c r="S662" i="1"/>
  <c r="O662" i="1"/>
  <c r="S660" i="1"/>
  <c r="O660" i="1"/>
  <c r="S64" i="1"/>
  <c r="O64" i="1"/>
  <c r="S658" i="1"/>
  <c r="O658" i="1"/>
  <c r="S150" i="1"/>
  <c r="O150" i="1"/>
  <c r="S657" i="1"/>
  <c r="O657" i="1"/>
  <c r="S656" i="1"/>
  <c r="O656" i="1"/>
  <c r="S55" i="1"/>
  <c r="O55" i="1"/>
  <c r="S24" i="1"/>
  <c r="O24" i="1"/>
  <c r="S104" i="1"/>
  <c r="O104" i="1"/>
  <c r="S655" i="1"/>
  <c r="O655" i="1"/>
  <c r="S29" i="1"/>
  <c r="O29" i="1"/>
  <c r="S5" i="1"/>
  <c r="O5" i="1"/>
  <c r="S653" i="1"/>
  <c r="O653" i="1"/>
  <c r="S651" i="1"/>
  <c r="O651" i="1"/>
  <c r="S650" i="1"/>
  <c r="O650" i="1"/>
  <c r="S117" i="1"/>
  <c r="O117" i="1"/>
  <c r="S65" i="1"/>
  <c r="O65" i="1"/>
  <c r="S649" i="1"/>
  <c r="O649" i="1"/>
  <c r="S640" i="1"/>
  <c r="O640" i="1"/>
  <c r="S639" i="1"/>
  <c r="O639" i="1"/>
  <c r="S638" i="1"/>
  <c r="O638" i="1"/>
  <c r="S648" i="1"/>
  <c r="O648" i="1"/>
  <c r="S647" i="1"/>
  <c r="O647" i="1"/>
  <c r="S646" i="1"/>
  <c r="O646" i="1"/>
  <c r="S643" i="1"/>
  <c r="O643" i="1"/>
  <c r="S642" i="1"/>
  <c r="O642" i="1"/>
  <c r="S636" i="1"/>
  <c r="O636" i="1"/>
  <c r="S635" i="1"/>
  <c r="O635" i="1"/>
  <c r="S608" i="1"/>
  <c r="O608" i="1"/>
  <c r="S609" i="1"/>
  <c r="O609" i="1"/>
  <c r="S163" i="1"/>
  <c r="O163" i="1"/>
  <c r="S391" i="1"/>
  <c r="O391" i="1"/>
  <c r="S394" i="1"/>
  <c r="O394" i="1"/>
  <c r="S162" i="1"/>
  <c r="O162" i="1"/>
  <c r="S402" i="1"/>
  <c r="O402" i="1"/>
  <c r="S410" i="1"/>
  <c r="O410" i="1"/>
  <c r="S409" i="1"/>
  <c r="O409" i="1"/>
  <c r="S408" i="1"/>
  <c r="O408" i="1"/>
  <c r="S407" i="1"/>
  <c r="O407" i="1"/>
  <c r="S406" i="1"/>
  <c r="O406" i="1"/>
  <c r="S405" i="1"/>
  <c r="O405" i="1"/>
  <c r="S404" i="1"/>
  <c r="O404" i="1"/>
  <c r="S411" i="1"/>
  <c r="O411" i="1"/>
  <c r="S419" i="1"/>
  <c r="O419" i="1"/>
  <c r="S421" i="1"/>
  <c r="O421" i="1"/>
  <c r="S426" i="1"/>
  <c r="O426" i="1"/>
  <c r="S424" i="1"/>
  <c r="O424" i="1"/>
  <c r="S423" i="1"/>
  <c r="O423" i="1"/>
  <c r="S422" i="1"/>
  <c r="O422" i="1"/>
  <c r="S430" i="1"/>
  <c r="O430" i="1"/>
  <c r="S143" i="1"/>
  <c r="O143" i="1"/>
  <c r="S440" i="1"/>
  <c r="O440" i="1"/>
  <c r="S436" i="1"/>
  <c r="O436" i="1"/>
  <c r="S444" i="1"/>
  <c r="O444" i="1"/>
  <c r="S450" i="1"/>
  <c r="O450" i="1"/>
  <c r="S451" i="1"/>
  <c r="O451" i="1"/>
  <c r="S476" i="1"/>
  <c r="O476" i="1"/>
  <c r="S486" i="1"/>
  <c r="O486" i="1"/>
  <c r="S487" i="1"/>
  <c r="O487" i="1"/>
  <c r="S504" i="1"/>
  <c r="O504" i="1"/>
  <c r="S503" i="1"/>
  <c r="O503" i="1"/>
  <c r="S502" i="1"/>
  <c r="O502" i="1"/>
  <c r="S501" i="1"/>
  <c r="O501" i="1"/>
  <c r="S500" i="1"/>
  <c r="O500" i="1"/>
  <c r="S499" i="1"/>
  <c r="O499" i="1"/>
  <c r="S498" i="1"/>
  <c r="O498" i="1"/>
  <c r="S497" i="1"/>
  <c r="O497" i="1"/>
  <c r="S151" i="1"/>
  <c r="O151" i="1"/>
  <c r="S492" i="1"/>
  <c r="O492" i="1"/>
  <c r="S491" i="1"/>
  <c r="O491" i="1"/>
  <c r="S516" i="1"/>
  <c r="O516" i="1"/>
  <c r="S517" i="1"/>
  <c r="O517" i="1"/>
  <c r="S524" i="1"/>
  <c r="O524" i="1"/>
  <c r="S523" i="1"/>
  <c r="O523" i="1"/>
  <c r="S526" i="1"/>
  <c r="O526" i="1"/>
  <c r="S527" i="1"/>
  <c r="O527" i="1"/>
  <c r="S531" i="1"/>
  <c r="O531" i="1"/>
  <c r="S131" i="1"/>
  <c r="O131" i="1"/>
  <c r="S543" i="1"/>
  <c r="O543" i="1"/>
  <c r="S542" i="1"/>
  <c r="O542" i="1"/>
  <c r="S541" i="1"/>
  <c r="O541" i="1"/>
  <c r="S540" i="1"/>
  <c r="O540" i="1"/>
  <c r="S539" i="1"/>
  <c r="O539" i="1"/>
  <c r="S538" i="1"/>
  <c r="O538" i="1"/>
  <c r="S548" i="1"/>
  <c r="O548" i="1"/>
  <c r="S546" i="1"/>
  <c r="O546" i="1"/>
  <c r="S551" i="1"/>
  <c r="O551" i="1"/>
  <c r="S550" i="1"/>
  <c r="O550" i="1"/>
  <c r="S559" i="1"/>
  <c r="O559" i="1"/>
  <c r="S578" i="1"/>
  <c r="O578" i="1"/>
  <c r="S577" i="1"/>
  <c r="O577" i="1"/>
  <c r="S158" i="1"/>
  <c r="O158" i="1"/>
  <c r="S572" i="1"/>
  <c r="O572" i="1"/>
  <c r="S571" i="1"/>
  <c r="O571" i="1"/>
  <c r="S126" i="1"/>
  <c r="O126" i="1"/>
  <c r="S564" i="1"/>
  <c r="O564" i="1"/>
  <c r="S563" i="1"/>
  <c r="O563" i="1"/>
  <c r="S582" i="1"/>
  <c r="O582" i="1"/>
  <c r="S581" i="1"/>
  <c r="O581" i="1"/>
  <c r="S580" i="1"/>
  <c r="O580" i="1"/>
  <c r="S585" i="1"/>
  <c r="O585" i="1"/>
  <c r="S589" i="1"/>
  <c r="O589" i="1"/>
  <c r="S590" i="1"/>
  <c r="O590" i="1"/>
  <c r="S594" i="1"/>
  <c r="O594" i="1"/>
  <c r="S138" i="1"/>
  <c r="O138" i="1"/>
  <c r="S600" i="1"/>
  <c r="O600" i="1"/>
  <c r="S633" i="1"/>
  <c r="O633" i="1"/>
  <c r="S628" i="1"/>
  <c r="O628" i="1"/>
  <c r="S631" i="1"/>
  <c r="O631" i="1"/>
  <c r="S630" i="1"/>
  <c r="O630" i="1"/>
  <c r="S620" i="1"/>
  <c r="O620" i="1"/>
  <c r="S613" i="1"/>
  <c r="O613" i="1"/>
  <c r="S618" i="1"/>
  <c r="O618" i="1"/>
  <c r="S617" i="1"/>
  <c r="O617" i="1"/>
  <c r="S142" i="1"/>
  <c r="O142" i="1"/>
  <c r="S615" i="1"/>
  <c r="O615" i="1"/>
  <c r="S568" i="1"/>
  <c r="O568" i="1"/>
  <c r="S317" i="1"/>
  <c r="O317" i="1"/>
  <c r="S68" i="1"/>
  <c r="O68" i="1"/>
  <c r="S318" i="1"/>
  <c r="O318" i="1"/>
  <c r="S96" i="1"/>
  <c r="O96" i="1"/>
  <c r="S336" i="1"/>
  <c r="O336" i="1"/>
  <c r="S281" i="1"/>
  <c r="O281" i="1"/>
  <c r="S302" i="1"/>
  <c r="O302" i="1"/>
  <c r="S125" i="1"/>
  <c r="O125" i="1"/>
  <c r="S293" i="1"/>
  <c r="O293" i="1"/>
  <c r="S288" i="1"/>
  <c r="O288" i="1"/>
  <c r="S284" i="1"/>
  <c r="O284" i="1"/>
  <c r="S286" i="1"/>
  <c r="O286" i="1"/>
  <c r="S287" i="1"/>
  <c r="O287" i="1"/>
  <c r="S145" i="1"/>
  <c r="O145" i="1"/>
  <c r="S296" i="1"/>
  <c r="O296" i="1"/>
  <c r="S297" i="1"/>
  <c r="O297" i="1"/>
  <c r="S283" i="1"/>
  <c r="O283" i="1"/>
  <c r="S350" i="1"/>
  <c r="O350" i="1"/>
  <c r="S464" i="1"/>
  <c r="O464" i="1"/>
  <c r="S520" i="1"/>
  <c r="O520" i="1"/>
  <c r="S537" i="1"/>
  <c r="O537" i="1"/>
  <c r="S547" i="1"/>
  <c r="O547" i="1"/>
  <c r="S632" i="1"/>
  <c r="O632" i="1"/>
  <c r="S624" i="1"/>
  <c r="O624" i="1"/>
  <c r="S149" i="1"/>
  <c r="O149" i="1"/>
  <c r="S345" i="1"/>
  <c r="O345" i="1"/>
  <c r="S349" i="1"/>
  <c r="O349" i="1"/>
  <c r="S346" i="1"/>
  <c r="O346" i="1"/>
  <c r="S310" i="1"/>
  <c r="O310" i="1"/>
  <c r="S351" i="1"/>
  <c r="O351" i="1"/>
  <c r="S377" i="1"/>
  <c r="O377" i="1"/>
  <c r="S372" i="1"/>
  <c r="O372" i="1"/>
  <c r="S373" i="1"/>
  <c r="O373" i="1"/>
  <c r="S88" i="1"/>
  <c r="O88" i="1"/>
  <c r="S371" i="1"/>
  <c r="O371" i="1"/>
  <c r="S136" i="1"/>
  <c r="O136" i="1"/>
  <c r="S366" i="1"/>
  <c r="O366" i="1"/>
  <c r="S360" i="1"/>
  <c r="O360" i="1"/>
  <c r="S359" i="1"/>
  <c r="O359" i="1"/>
  <c r="S22" i="1"/>
  <c r="O22" i="1"/>
  <c r="S115" i="1"/>
  <c r="O115" i="1"/>
  <c r="S26" i="1"/>
  <c r="O26" i="1"/>
  <c r="S43" i="1"/>
  <c r="O43" i="1"/>
  <c r="S9" i="1"/>
  <c r="O9" i="1"/>
  <c r="S59" i="1"/>
  <c r="O59" i="1"/>
  <c r="S49" i="1"/>
  <c r="O49" i="1"/>
  <c r="S358" i="1"/>
  <c r="O358" i="1"/>
  <c r="S357" i="1"/>
  <c r="O357" i="1"/>
  <c r="S356" i="1"/>
  <c r="O356" i="1"/>
  <c r="S355" i="1"/>
  <c r="O355" i="1"/>
  <c r="S354" i="1"/>
  <c r="O354" i="1"/>
  <c r="S353" i="1"/>
  <c r="O353" i="1"/>
  <c r="S144" i="1"/>
  <c r="O144" i="1"/>
  <c r="S203" i="1"/>
  <c r="O203" i="1"/>
  <c r="S204" i="1"/>
  <c r="O204" i="1"/>
  <c r="S205" i="1"/>
  <c r="O205" i="1"/>
  <c r="S157" i="1"/>
  <c r="O157" i="1"/>
  <c r="S246" i="1"/>
  <c r="O246" i="1"/>
  <c r="S247" i="1"/>
  <c r="O247" i="1"/>
  <c r="S51" i="1"/>
  <c r="O51" i="1"/>
  <c r="S248" i="1"/>
  <c r="O248" i="1"/>
  <c r="S72" i="1"/>
  <c r="O72" i="1"/>
  <c r="S214" i="1"/>
  <c r="O214" i="1"/>
  <c r="S217" i="1"/>
  <c r="O217" i="1"/>
  <c r="S218" i="1"/>
  <c r="O218" i="1"/>
  <c r="S224" i="1"/>
  <c r="O224" i="1"/>
  <c r="S225" i="1"/>
  <c r="O225" i="1"/>
  <c r="S226" i="1"/>
  <c r="O226" i="1"/>
  <c r="S234" i="1"/>
  <c r="O234" i="1"/>
  <c r="S141" i="1"/>
  <c r="O141" i="1"/>
  <c r="S235" i="1"/>
  <c r="O235" i="1"/>
  <c r="S236" i="1"/>
  <c r="O236" i="1"/>
  <c r="S239" i="1"/>
  <c r="O239" i="1"/>
  <c r="S191" i="1"/>
  <c r="O191" i="1"/>
  <c r="S164" i="1"/>
  <c r="O164" i="1"/>
  <c r="S190" i="1"/>
  <c r="O190" i="1"/>
  <c r="S196" i="1"/>
  <c r="O196" i="1"/>
  <c r="S133" i="1"/>
  <c r="O133" i="1"/>
  <c r="S200" i="1"/>
  <c r="O200" i="1"/>
  <c r="S257" i="1"/>
  <c r="O257" i="1"/>
  <c r="S99" i="1"/>
  <c r="O99" i="1"/>
  <c r="S388" i="1"/>
  <c r="O388" i="1"/>
  <c r="S27" i="1"/>
  <c r="O27" i="1"/>
  <c r="S611" i="1"/>
  <c r="O611" i="1"/>
  <c r="S431" i="1"/>
  <c r="O431" i="1"/>
  <c r="S435" i="1"/>
  <c r="O435" i="1"/>
  <c r="S437" i="1"/>
  <c r="O437" i="1"/>
  <c r="S445" i="1"/>
  <c r="O445" i="1"/>
  <c r="S462" i="1"/>
  <c r="O462" i="1"/>
  <c r="S63" i="1"/>
  <c r="O63" i="1"/>
  <c r="S470" i="1"/>
  <c r="O470" i="1"/>
  <c r="S467" i="1"/>
  <c r="O467" i="1"/>
  <c r="S466" i="1"/>
  <c r="O466" i="1"/>
  <c r="S472" i="1"/>
  <c r="O472" i="1"/>
  <c r="S161" i="1"/>
  <c r="O161" i="1"/>
  <c r="S545" i="1"/>
  <c r="O545" i="1"/>
  <c r="S554" i="1"/>
  <c r="O554" i="1"/>
  <c r="S560" i="1"/>
  <c r="O560" i="1"/>
  <c r="S579" i="1"/>
  <c r="O579" i="1"/>
  <c r="S587" i="1"/>
  <c r="O587" i="1"/>
  <c r="S595" i="1"/>
  <c r="O595" i="1"/>
  <c r="S591" i="1"/>
  <c r="O591" i="1"/>
  <c r="S592" i="1"/>
  <c r="O592" i="1"/>
  <c r="S593" i="1"/>
  <c r="O593" i="1"/>
  <c r="S599" i="1"/>
  <c r="O599" i="1"/>
  <c r="S627" i="1"/>
  <c r="O627" i="1"/>
  <c r="S654" i="1"/>
  <c r="O654" i="1"/>
  <c r="S644" i="1"/>
  <c r="O644" i="1"/>
  <c r="S237" i="1"/>
  <c r="O237" i="1"/>
  <c r="S187" i="1"/>
  <c r="O187" i="1"/>
  <c r="S152" i="1"/>
  <c r="O152" i="1"/>
  <c r="S148" i="1"/>
  <c r="O148" i="1"/>
  <c r="S184" i="1"/>
  <c r="O184" i="1"/>
  <c r="S185" i="1"/>
  <c r="O185" i="1"/>
  <c r="S301" i="1"/>
  <c r="O301" i="1"/>
  <c r="S294" i="1"/>
  <c r="O294" i="1"/>
  <c r="S299" i="1"/>
  <c r="O299" i="1"/>
  <c r="S300" i="1"/>
  <c r="O300" i="1"/>
  <c r="S298" i="1"/>
  <c r="O298" i="1"/>
  <c r="S292" i="1"/>
  <c r="O292" i="1"/>
  <c r="S10" i="1"/>
  <c r="O10" i="1"/>
  <c r="S41" i="1"/>
  <c r="O41" i="1"/>
  <c r="S48" i="1"/>
  <c r="O48" i="1"/>
  <c r="S290" i="1"/>
  <c r="O290" i="1"/>
  <c r="S291" i="1"/>
  <c r="O291" i="1"/>
  <c r="S289" i="1"/>
  <c r="O289" i="1"/>
  <c r="S285" i="1"/>
  <c r="O285" i="1"/>
  <c r="S295" i="1"/>
  <c r="O295" i="1"/>
  <c r="S134" i="1"/>
  <c r="O134" i="1"/>
  <c r="S201" i="1"/>
  <c r="O201" i="1"/>
  <c r="S365" i="1"/>
  <c r="O365" i="1"/>
  <c r="S319" i="1"/>
  <c r="O319" i="1"/>
  <c r="S311" i="1"/>
  <c r="O311" i="1"/>
  <c r="S312" i="1"/>
  <c r="O312" i="1"/>
  <c r="S122" i="1"/>
  <c r="O122" i="1"/>
  <c r="S114" i="1"/>
  <c r="O114" i="1"/>
  <c r="S322" i="1"/>
  <c r="O322" i="1"/>
  <c r="S316" i="1"/>
  <c r="O316" i="1"/>
  <c r="S343" i="1"/>
  <c r="O343" i="1"/>
  <c r="S342" i="1"/>
  <c r="O342" i="1"/>
  <c r="S341" i="1"/>
  <c r="O341" i="1"/>
  <c r="S338" i="1"/>
  <c r="O338" i="1"/>
  <c r="S337" i="1"/>
  <c r="O337" i="1"/>
  <c r="S137" i="1"/>
  <c r="O137" i="1"/>
  <c r="S170" i="1"/>
  <c r="O170" i="1"/>
  <c r="S169" i="1"/>
  <c r="O169" i="1"/>
  <c r="S168" i="1"/>
  <c r="O168" i="1"/>
  <c r="S181" i="1"/>
  <c r="O181" i="1"/>
  <c r="S180" i="1"/>
  <c r="O180" i="1"/>
  <c r="S7" i="1"/>
  <c r="O7" i="1"/>
  <c r="S179" i="1"/>
  <c r="O179" i="1"/>
  <c r="S178" i="1"/>
  <c r="O178" i="1"/>
  <c r="S177" i="1"/>
  <c r="O177" i="1"/>
  <c r="S20" i="1"/>
  <c r="O20" i="1"/>
  <c r="S103" i="1"/>
  <c r="O103" i="1"/>
  <c r="S176" i="1"/>
  <c r="O176" i="1"/>
  <c r="S12" i="1"/>
  <c r="O12" i="1"/>
  <c r="S175" i="1"/>
  <c r="O175" i="1"/>
  <c r="S174" i="1"/>
  <c r="O174" i="1"/>
  <c r="S173" i="1"/>
  <c r="O173" i="1"/>
  <c r="S74" i="1"/>
  <c r="O74" i="1"/>
  <c r="S58" i="1"/>
  <c r="O58" i="1"/>
  <c r="S82" i="1"/>
  <c r="O82" i="1"/>
  <c r="S38" i="1"/>
  <c r="O38" i="1"/>
  <c r="S13" i="1"/>
  <c r="O13" i="1"/>
  <c r="S172" i="1"/>
  <c r="O172" i="1"/>
  <c r="S171" i="1"/>
  <c r="O171" i="1"/>
  <c r="S328" i="1"/>
  <c r="O328" i="1"/>
  <c r="S327" i="1"/>
  <c r="O327" i="1"/>
  <c r="S326" i="1"/>
  <c r="O326" i="1"/>
  <c r="S330" i="1"/>
  <c r="O330" i="1"/>
  <c r="S329" i="1"/>
  <c r="O329" i="1"/>
  <c r="S156" i="1"/>
  <c r="O156" i="1"/>
  <c r="S325" i="1"/>
  <c r="O325" i="1"/>
  <c r="S278" i="1"/>
  <c r="O278" i="1"/>
  <c r="S280" i="1"/>
  <c r="O280" i="1"/>
  <c r="S275" i="1"/>
  <c r="O275" i="1"/>
  <c r="S37" i="1"/>
  <c r="O37" i="1"/>
  <c r="S31" i="1"/>
  <c r="O31" i="1"/>
  <c r="S81" i="1"/>
  <c r="O81" i="1"/>
  <c r="S14" i="1"/>
  <c r="O14" i="1"/>
  <c r="S274" i="1"/>
  <c r="O274" i="1"/>
  <c r="S67" i="1"/>
  <c r="O67" i="1"/>
  <c r="S276" i="1"/>
  <c r="O276" i="1"/>
  <c r="S56" i="1"/>
  <c r="O56" i="1"/>
  <c r="S277" i="1"/>
  <c r="O277" i="1"/>
  <c r="S105" i="1"/>
  <c r="O105" i="1"/>
  <c r="S166" i="1"/>
  <c r="O166" i="1"/>
  <c r="S165" i="1"/>
  <c r="O165" i="1"/>
  <c r="S231" i="1"/>
  <c r="O231" i="1"/>
  <c r="S233" i="1"/>
  <c r="O233" i="1"/>
  <c r="S109" i="1"/>
  <c r="O109" i="1"/>
  <c r="S66" i="1"/>
  <c r="O66" i="1"/>
  <c r="S89" i="1"/>
  <c r="O89" i="1"/>
  <c r="S60" i="1"/>
  <c r="O60" i="1"/>
  <c r="S35" i="1"/>
  <c r="O35" i="1"/>
  <c r="S238" i="1"/>
  <c r="O238" i="1"/>
  <c r="I238" i="1"/>
  <c r="S382" i="1"/>
  <c r="O382" i="1"/>
  <c r="S42" i="1"/>
  <c r="O42" i="1"/>
  <c r="S32" i="1"/>
  <c r="O32" i="1"/>
  <c r="S18" i="1"/>
  <c r="O18" i="1"/>
  <c r="S471" i="1"/>
  <c r="O471" i="1"/>
  <c r="S249" i="1"/>
  <c r="O249" i="1"/>
  <c r="S75" i="1"/>
  <c r="O75" i="1"/>
  <c r="S182" i="1"/>
  <c r="O182" i="1"/>
  <c r="S441" i="1"/>
  <c r="O441" i="1"/>
  <c r="S344" i="1"/>
  <c r="O344" i="1"/>
  <c r="S193" i="1"/>
  <c r="O193" i="1"/>
  <c r="S6" i="1"/>
  <c r="O6" i="1"/>
  <c r="S25" i="1"/>
  <c r="O25" i="1"/>
  <c r="S100" i="1"/>
  <c r="O100" i="1"/>
  <c r="S19" i="1"/>
  <c r="O19" i="1"/>
  <c r="O111" i="1"/>
  <c r="S50" i="1"/>
  <c r="O50" i="1"/>
  <c r="S259" i="1"/>
  <c r="O259" i="1"/>
  <c r="S622" i="1"/>
  <c r="O622" i="1"/>
  <c r="S659" i="1"/>
  <c r="O659" i="1"/>
  <c r="S505" i="1"/>
  <c r="O505" i="1"/>
  <c r="S515" i="1"/>
  <c r="O515" i="1"/>
  <c r="S536" i="1"/>
  <c r="O536" i="1"/>
  <c r="S147" i="1"/>
  <c r="O147" i="1"/>
  <c r="S261" i="1"/>
  <c r="O261" i="1"/>
  <c r="S271" i="1"/>
  <c r="O271" i="1"/>
  <c r="S429" i="1"/>
  <c r="O429" i="1"/>
  <c r="S469" i="1"/>
  <c r="O469" i="1"/>
  <c r="S154" i="1"/>
  <c r="O154" i="1"/>
  <c r="S619" i="1"/>
  <c r="O619" i="1"/>
  <c r="S23" i="1"/>
  <c r="O23" i="1"/>
  <c r="S272" i="1"/>
  <c r="O272" i="1"/>
  <c r="S255" i="1"/>
  <c r="O255" i="1"/>
  <c r="S637" i="1"/>
  <c r="O637" i="1"/>
  <c r="S70" i="1"/>
  <c r="O70" i="1"/>
  <c r="S228" i="1"/>
  <c r="O228" i="1"/>
  <c r="S666" i="1"/>
  <c r="O666" i="1"/>
  <c r="S661" i="1"/>
  <c r="O661" i="1"/>
  <c r="S140" i="1"/>
  <c r="O140" i="1"/>
  <c r="S209" i="1"/>
  <c r="O209" i="1"/>
  <c r="S369" i="1"/>
  <c r="O369" i="1"/>
  <c r="S183" i="1"/>
  <c r="O183" i="1"/>
  <c r="S428" i="1"/>
  <c r="O428" i="1"/>
  <c r="S232" i="1"/>
  <c r="O232" i="1"/>
  <c r="S107" i="1"/>
  <c r="O107" i="1"/>
  <c r="S533" i="1"/>
  <c r="O533" i="1"/>
  <c r="S270" i="1"/>
  <c r="O270" i="1"/>
  <c r="S92" i="1"/>
  <c r="O92" i="1"/>
  <c r="S676" i="1"/>
  <c r="O676" i="1"/>
  <c r="S167" i="1"/>
  <c r="O167" i="1"/>
  <c r="S652" i="1"/>
  <c r="O652" i="1"/>
  <c r="S446" i="1"/>
  <c r="O446" i="1"/>
  <c r="S40" i="1"/>
  <c r="O40" i="1"/>
  <c r="S534" i="1"/>
  <c r="O534" i="1"/>
  <c r="S199" i="1"/>
  <c r="O199" i="1"/>
  <c r="S227" i="1"/>
  <c r="O227" i="1"/>
  <c r="S130" i="1"/>
  <c r="O130" i="1"/>
  <c r="S674" i="1"/>
  <c r="O674" i="1"/>
  <c r="S433" i="1"/>
  <c r="O433" i="1"/>
  <c r="S331" i="1"/>
  <c r="O331" i="1"/>
  <c r="S279" i="1"/>
  <c r="O279" i="1"/>
  <c r="S52" i="1"/>
  <c r="O52" i="1"/>
  <c r="I11" i="1" l="1"/>
  <c r="I670" i="1"/>
  <c r="I127" i="1"/>
  <c r="I199" i="1"/>
  <c r="I96" i="1"/>
  <c r="I289" i="1"/>
  <c r="K433" i="1"/>
  <c r="I547" i="1"/>
  <c r="I538" i="1"/>
  <c r="I429" i="1"/>
  <c r="I311" i="1"/>
  <c r="I436" i="1"/>
  <c r="I428" i="1"/>
  <c r="I105" i="1"/>
  <c r="I342" i="1"/>
  <c r="I49" i="1"/>
  <c r="K536" i="1"/>
  <c r="I165" i="1"/>
  <c r="I325" i="1"/>
  <c r="I451" i="1"/>
  <c r="I293" i="1"/>
  <c r="K369" i="1"/>
  <c r="I235" i="1"/>
  <c r="K31" i="1"/>
  <c r="K451" i="1"/>
  <c r="K50" i="1"/>
  <c r="K177" i="1"/>
  <c r="K428" i="1"/>
  <c r="K462" i="1"/>
  <c r="K40" i="1"/>
  <c r="K180" i="1"/>
  <c r="K154" i="1"/>
  <c r="K10" i="1"/>
  <c r="K630" i="1"/>
  <c r="K599" i="1"/>
  <c r="K426" i="1"/>
  <c r="K90" i="1"/>
  <c r="K130" i="1"/>
  <c r="K270" i="1"/>
  <c r="K666" i="1"/>
  <c r="K429" i="1"/>
  <c r="K327" i="1"/>
  <c r="K301" i="1"/>
  <c r="K157" i="1"/>
  <c r="K406" i="1"/>
  <c r="K19" i="1"/>
  <c r="K23" i="1"/>
  <c r="K82" i="1"/>
  <c r="K646" i="1"/>
  <c r="K279" i="1"/>
  <c r="K199" i="1"/>
  <c r="K505" i="1"/>
  <c r="K149" i="1"/>
  <c r="I661" i="1"/>
  <c r="I171" i="1"/>
  <c r="I337" i="1"/>
  <c r="I114" i="1"/>
  <c r="I560" i="1"/>
  <c r="I161" i="1"/>
  <c r="I467" i="1"/>
  <c r="I345" i="1"/>
  <c r="I286" i="1"/>
  <c r="I594" i="1"/>
  <c r="I551" i="1"/>
  <c r="I608" i="1"/>
  <c r="I282" i="1"/>
  <c r="I76" i="1"/>
  <c r="I97" i="1"/>
  <c r="I262" i="1"/>
  <c r="I446" i="1"/>
  <c r="K676" i="1"/>
  <c r="I533" i="1"/>
  <c r="K70" i="1"/>
  <c r="I154" i="1"/>
  <c r="K441" i="1"/>
  <c r="I644" i="1"/>
  <c r="I99" i="1"/>
  <c r="K225" i="1"/>
  <c r="I43" i="1"/>
  <c r="I22" i="1"/>
  <c r="K594" i="1"/>
  <c r="I572" i="1"/>
  <c r="I24" i="1"/>
  <c r="I413" i="1"/>
  <c r="I3" i="1"/>
  <c r="I120" i="1"/>
  <c r="I535" i="1"/>
  <c r="I395" i="1"/>
  <c r="K606" i="1"/>
  <c r="I418" i="1"/>
  <c r="I91" i="1"/>
  <c r="I78" i="1"/>
  <c r="I160" i="1"/>
  <c r="I404" i="1"/>
  <c r="I29" i="1"/>
  <c r="I671" i="1"/>
  <c r="I534" i="1"/>
  <c r="I659" i="1"/>
  <c r="I193" i="1"/>
  <c r="I176" i="1"/>
  <c r="I470" i="1"/>
  <c r="I499" i="1"/>
  <c r="I423" i="1"/>
  <c r="I665" i="1"/>
  <c r="I8" i="1"/>
  <c r="I186" i="1"/>
  <c r="I433" i="1"/>
  <c r="K652" i="1"/>
  <c r="I107" i="1"/>
  <c r="K193" i="1"/>
  <c r="I182" i="1"/>
  <c r="I60" i="1"/>
  <c r="I56" i="1"/>
  <c r="K365" i="1"/>
  <c r="I187" i="1"/>
  <c r="I257" i="1"/>
  <c r="I224" i="1"/>
  <c r="I151" i="1"/>
  <c r="I476" i="1"/>
  <c r="I143" i="1"/>
  <c r="I609" i="1"/>
  <c r="I65" i="1"/>
  <c r="I663" i="1"/>
  <c r="I334" i="1"/>
  <c r="I146" i="1"/>
  <c r="I47" i="1"/>
  <c r="I52" i="1"/>
  <c r="I554" i="1"/>
  <c r="I356" i="1"/>
  <c r="I543" i="1"/>
  <c r="K107" i="1"/>
  <c r="K140" i="1"/>
  <c r="K261" i="1"/>
  <c r="I515" i="1"/>
  <c r="I111" i="1"/>
  <c r="I25" i="1"/>
  <c r="K60" i="1"/>
  <c r="K56" i="1"/>
  <c r="I184" i="1"/>
  <c r="K579" i="1"/>
  <c r="I354" i="1"/>
  <c r="K371" i="1"/>
  <c r="I537" i="1"/>
  <c r="K318" i="1"/>
  <c r="K550" i="1"/>
  <c r="K609" i="1"/>
  <c r="I639" i="1"/>
  <c r="I112" i="1"/>
  <c r="I634" i="1"/>
  <c r="I71" i="1"/>
  <c r="I332" i="1"/>
  <c r="I307" i="1"/>
  <c r="I471" i="1"/>
  <c r="I172" i="1"/>
  <c r="I472" i="1"/>
  <c r="I214" i="1"/>
  <c r="I527" i="1"/>
  <c r="I421" i="1"/>
  <c r="I651" i="1"/>
  <c r="I279" i="1"/>
  <c r="I228" i="1"/>
  <c r="K255" i="1"/>
  <c r="I619" i="1"/>
  <c r="K25" i="1"/>
  <c r="K18" i="1"/>
  <c r="K14" i="1"/>
  <c r="I37" i="1"/>
  <c r="I330" i="1"/>
  <c r="K13" i="1"/>
  <c r="I175" i="1"/>
  <c r="I48" i="1"/>
  <c r="I226" i="1"/>
  <c r="K354" i="1"/>
  <c r="K115" i="1"/>
  <c r="I360" i="1"/>
  <c r="I613" i="1"/>
  <c r="K571" i="1"/>
  <c r="I577" i="1"/>
  <c r="I541" i="1"/>
  <c r="K131" i="1"/>
  <c r="I647" i="1"/>
  <c r="I583" i="1"/>
  <c r="I119" i="1"/>
  <c r="I607" i="1"/>
  <c r="I121" i="1"/>
  <c r="I386" i="1"/>
  <c r="I458" i="1"/>
  <c r="K213" i="1"/>
  <c r="K604" i="1"/>
  <c r="I32" i="1"/>
  <c r="I276" i="1"/>
  <c r="I278" i="1"/>
  <c r="I177" i="1"/>
  <c r="I7" i="1"/>
  <c r="I322" i="1"/>
  <c r="I435" i="1"/>
  <c r="I302" i="1"/>
  <c r="I633" i="1"/>
  <c r="I585" i="1"/>
  <c r="I582" i="1"/>
  <c r="I550" i="1"/>
  <c r="I502" i="1"/>
  <c r="I411" i="1"/>
  <c r="I406" i="1"/>
  <c r="I394" i="1"/>
  <c r="I449" i="1"/>
  <c r="I496" i="1"/>
  <c r="I167" i="1"/>
  <c r="I270" i="1"/>
  <c r="I140" i="1"/>
  <c r="I637" i="1"/>
  <c r="I23" i="1"/>
  <c r="I536" i="1"/>
  <c r="I19" i="1"/>
  <c r="I344" i="1"/>
  <c r="I274" i="1"/>
  <c r="I31" i="1"/>
  <c r="I38" i="1"/>
  <c r="I74" i="1"/>
  <c r="I170" i="1"/>
  <c r="I579" i="1"/>
  <c r="I611" i="1"/>
  <c r="I191" i="1"/>
  <c r="I203" i="1"/>
  <c r="I296" i="1"/>
  <c r="I142" i="1"/>
  <c r="I589" i="1"/>
  <c r="I581" i="1"/>
  <c r="I491" i="1"/>
  <c r="I504" i="1"/>
  <c r="I643" i="1"/>
  <c r="I159" i="1"/>
  <c r="I124" i="1"/>
  <c r="I94" i="1"/>
  <c r="I556" i="1"/>
  <c r="I244" i="1"/>
  <c r="I222" i="1"/>
  <c r="I588" i="1"/>
  <c r="I562" i="1"/>
  <c r="I383" i="1"/>
  <c r="I263" i="1"/>
  <c r="I50" i="1"/>
  <c r="I181" i="1"/>
  <c r="I295" i="1"/>
  <c r="I291" i="1"/>
  <c r="I41" i="1"/>
  <c r="I599" i="1"/>
  <c r="I591" i="1"/>
  <c r="I196" i="1"/>
  <c r="I217" i="1"/>
  <c r="I9" i="1"/>
  <c r="I115" i="1"/>
  <c r="I371" i="1"/>
  <c r="I350" i="1"/>
  <c r="I524" i="1"/>
  <c r="I635" i="1"/>
  <c r="I650" i="1"/>
  <c r="I5" i="1"/>
  <c r="I104" i="1"/>
  <c r="I667" i="1"/>
  <c r="I132" i="1"/>
  <c r="I87" i="1"/>
  <c r="I95" i="1"/>
  <c r="I597" i="1"/>
  <c r="I69" i="1"/>
  <c r="I555" i="1"/>
  <c r="I412" i="1"/>
  <c r="I390" i="1"/>
  <c r="I266" i="1"/>
  <c r="I399" i="1"/>
  <c r="I315" i="1"/>
  <c r="I240" i="1"/>
  <c r="I348" i="1"/>
  <c r="I368" i="1"/>
  <c r="I375" i="1"/>
  <c r="I130" i="1"/>
  <c r="I92" i="1"/>
  <c r="I369" i="1"/>
  <c r="I272" i="1"/>
  <c r="I261" i="1"/>
  <c r="I259" i="1"/>
  <c r="I249" i="1"/>
  <c r="I382" i="1"/>
  <c r="I66" i="1"/>
  <c r="I231" i="1"/>
  <c r="I81" i="1"/>
  <c r="I329" i="1"/>
  <c r="I174" i="1"/>
  <c r="I179" i="1"/>
  <c r="I365" i="1"/>
  <c r="I292" i="1"/>
  <c r="I299" i="1"/>
  <c r="I592" i="1"/>
  <c r="I587" i="1"/>
  <c r="I462" i="1"/>
  <c r="I236" i="1"/>
  <c r="I234" i="1"/>
  <c r="I248" i="1"/>
  <c r="I246" i="1"/>
  <c r="I373" i="1"/>
  <c r="I351" i="1"/>
  <c r="I349" i="1"/>
  <c r="I297" i="1"/>
  <c r="I287" i="1"/>
  <c r="I288" i="1"/>
  <c r="I68" i="1"/>
  <c r="I615" i="1"/>
  <c r="I564" i="1"/>
  <c r="I523" i="1"/>
  <c r="I516" i="1"/>
  <c r="I409" i="1"/>
  <c r="I162" i="1"/>
  <c r="I656" i="1"/>
  <c r="I658" i="1"/>
  <c r="I662" i="1"/>
  <c r="I128" i="1"/>
  <c r="I34" i="1"/>
  <c r="I452" i="1"/>
  <c r="I123" i="1"/>
  <c r="I54" i="1"/>
  <c r="I57" i="1"/>
  <c r="I569" i="1"/>
  <c r="I575" i="1"/>
  <c r="I254" i="1"/>
  <c r="I459" i="1"/>
  <c r="I443" i="1"/>
  <c r="I53" i="1"/>
  <c r="I197" i="1"/>
  <c r="I219" i="1"/>
  <c r="I229" i="1"/>
  <c r="I567" i="1"/>
  <c r="I529" i="1"/>
  <c r="I495" i="1"/>
  <c r="I480" i="1"/>
  <c r="I485" i="1"/>
  <c r="I420" i="1"/>
  <c r="I398" i="1"/>
  <c r="I340" i="1"/>
  <c r="I206" i="1"/>
  <c r="I253" i="1"/>
  <c r="I73" i="1"/>
  <c r="I308" i="1"/>
  <c r="I188" i="1"/>
  <c r="I586" i="1"/>
  <c r="I549" i="1"/>
  <c r="I508" i="1"/>
  <c r="I494" i="1"/>
  <c r="I352" i="1"/>
  <c r="I519" i="1"/>
  <c r="I457" i="1"/>
  <c r="I448" i="1"/>
  <c r="I417" i="1"/>
  <c r="I389" i="1"/>
  <c r="I256" i="1"/>
  <c r="I314" i="1"/>
  <c r="I335" i="1"/>
  <c r="I361" i="1"/>
  <c r="I370" i="1"/>
  <c r="T370" i="1" s="1"/>
  <c r="U370" i="1" s="1"/>
  <c r="I376" i="1"/>
  <c r="I626" i="1"/>
  <c r="I221" i="1"/>
  <c r="I216" i="1"/>
  <c r="I230" i="1"/>
  <c r="I629" i="1"/>
  <c r="I528" i="1"/>
  <c r="I510" i="1"/>
  <c r="I481" i="1"/>
  <c r="I474" i="1"/>
  <c r="I414" i="1"/>
  <c r="I397" i="1"/>
  <c r="I86" i="1"/>
  <c r="I453" i="1"/>
  <c r="I242" i="1"/>
  <c r="I227" i="1"/>
  <c r="I209" i="1"/>
  <c r="I255" i="1"/>
  <c r="I147" i="1"/>
  <c r="I280" i="1"/>
  <c r="I328" i="1"/>
  <c r="I82" i="1"/>
  <c r="I103" i="1"/>
  <c r="I341" i="1"/>
  <c r="I316" i="1"/>
  <c r="I201" i="1"/>
  <c r="I285" i="1"/>
  <c r="I654" i="1"/>
  <c r="I431" i="1"/>
  <c r="I388" i="1"/>
  <c r="I357" i="1"/>
  <c r="I59" i="1"/>
  <c r="I632" i="1"/>
  <c r="I318" i="1"/>
  <c r="I631" i="1"/>
  <c r="I600" i="1"/>
  <c r="I158" i="1"/>
  <c r="I559" i="1"/>
  <c r="I131" i="1"/>
  <c r="I503" i="1"/>
  <c r="I486" i="1"/>
  <c r="I430" i="1"/>
  <c r="I424" i="1"/>
  <c r="I648" i="1"/>
  <c r="I640" i="1"/>
  <c r="I117" i="1"/>
  <c r="I669" i="1"/>
  <c r="I45" i="1"/>
  <c r="I333" i="1"/>
  <c r="I118" i="1"/>
  <c r="I17" i="1"/>
  <c r="I28" i="1"/>
  <c r="I98" i="1"/>
  <c r="I243" i="1"/>
  <c r="I208" i="1"/>
  <c r="I438" i="1"/>
  <c r="I605" i="1"/>
  <c r="I251" i="1"/>
  <c r="I79" i="1"/>
  <c r="I260" i="1"/>
  <c r="I155" i="1"/>
  <c r="I306" i="1"/>
  <c r="I379" i="1"/>
  <c r="I675" i="1"/>
  <c r="I189" i="1"/>
  <c r="I16" i="1"/>
  <c r="I573" i="1"/>
  <c r="I532" i="1"/>
  <c r="I367" i="1"/>
  <c r="I530" i="1"/>
  <c r="I676" i="1"/>
  <c r="I277" i="1"/>
  <c r="I14" i="1"/>
  <c r="I137" i="1"/>
  <c r="I674" i="1"/>
  <c r="I652" i="1"/>
  <c r="I183" i="1"/>
  <c r="I70" i="1"/>
  <c r="I271" i="1"/>
  <c r="I622" i="1"/>
  <c r="I75" i="1"/>
  <c r="I42" i="1"/>
  <c r="I89" i="1"/>
  <c r="I233" i="1"/>
  <c r="I156" i="1"/>
  <c r="I13" i="1"/>
  <c r="I173" i="1"/>
  <c r="I178" i="1"/>
  <c r="I122" i="1"/>
  <c r="I319" i="1"/>
  <c r="I300" i="1"/>
  <c r="I301" i="1"/>
  <c r="I593" i="1"/>
  <c r="I63" i="1"/>
  <c r="I200" i="1"/>
  <c r="I190" i="1"/>
  <c r="I239" i="1"/>
  <c r="I72" i="1"/>
  <c r="I247" i="1"/>
  <c r="I88" i="1"/>
  <c r="I377" i="1"/>
  <c r="I346" i="1"/>
  <c r="I520" i="1"/>
  <c r="I283" i="1"/>
  <c r="I568" i="1"/>
  <c r="I563" i="1"/>
  <c r="I571" i="1"/>
  <c r="I526" i="1"/>
  <c r="I408" i="1"/>
  <c r="I402" i="1"/>
  <c r="I636" i="1"/>
  <c r="I646" i="1"/>
  <c r="I55" i="1"/>
  <c r="I150" i="1"/>
  <c r="I660" i="1"/>
  <c r="I110" i="1"/>
  <c r="I465" i="1"/>
  <c r="I460" i="1"/>
  <c r="I108" i="1"/>
  <c r="I116" i="1"/>
  <c r="I21" i="1"/>
  <c r="I566" i="1"/>
  <c r="I574" i="1"/>
  <c r="I525" i="1"/>
  <c r="I482" i="1"/>
  <c r="I484" i="1"/>
  <c r="I606" i="1"/>
  <c r="I320" i="1"/>
  <c r="I565" i="1"/>
  <c r="I511" i="1"/>
  <c r="I507" i="1"/>
  <c r="I454" i="1"/>
  <c r="I442" i="1"/>
  <c r="I427" i="1"/>
  <c r="I323" i="1"/>
  <c r="I324" i="1"/>
  <c r="I362" i="1"/>
  <c r="I44" i="1"/>
  <c r="I434" i="1"/>
  <c r="I212" i="1"/>
  <c r="I552" i="1"/>
  <c r="I331" i="1"/>
  <c r="I40" i="1"/>
  <c r="I232" i="1"/>
  <c r="I666" i="1"/>
  <c r="I469" i="1"/>
  <c r="I505" i="1"/>
  <c r="I100" i="1"/>
  <c r="I441" i="1"/>
  <c r="I18" i="1"/>
  <c r="I35" i="1"/>
  <c r="I166" i="1"/>
  <c r="I67" i="1"/>
  <c r="I326" i="1"/>
  <c r="I12" i="1"/>
  <c r="I169" i="1"/>
  <c r="I148" i="1"/>
  <c r="I237" i="1"/>
  <c r="I437" i="1"/>
  <c r="I225" i="1"/>
  <c r="I205" i="1"/>
  <c r="I144" i="1"/>
  <c r="I359" i="1"/>
  <c r="I136" i="1"/>
  <c r="I149" i="1"/>
  <c r="I125" i="1"/>
  <c r="I336" i="1"/>
  <c r="I617" i="1"/>
  <c r="I620" i="1"/>
  <c r="I546" i="1"/>
  <c r="I539" i="1"/>
  <c r="I542" i="1"/>
  <c r="I492" i="1"/>
  <c r="I498" i="1"/>
  <c r="I501" i="1"/>
  <c r="I450" i="1"/>
  <c r="I440" i="1"/>
  <c r="I391" i="1"/>
  <c r="I129" i="1"/>
  <c r="I673" i="1"/>
  <c r="I106" i="1"/>
  <c r="I153" i="1"/>
  <c r="I392" i="1"/>
  <c r="I610" i="1"/>
  <c r="I33" i="1"/>
  <c r="I102" i="1"/>
  <c r="I641" i="1"/>
  <c r="I303" i="1"/>
  <c r="I267" i="1"/>
  <c r="I265" i="1"/>
  <c r="I621" i="1"/>
  <c r="I558" i="1"/>
  <c r="I220" i="1"/>
  <c r="I211" i="1"/>
  <c r="I273" i="1"/>
  <c r="I614" i="1"/>
  <c r="I602" i="1"/>
  <c r="I380" i="1"/>
  <c r="I623" i="1"/>
  <c r="I509" i="1"/>
  <c r="I493" i="1"/>
  <c r="I479" i="1"/>
  <c r="I468" i="1"/>
  <c r="R681" i="1"/>
  <c r="L683" i="1"/>
  <c r="L681" i="1"/>
  <c r="I553" i="1"/>
  <c r="I473" i="1"/>
  <c r="I384" i="1"/>
  <c r="I304" i="1"/>
  <c r="I268" i="1"/>
  <c r="I36" i="1"/>
  <c r="I513" i="1"/>
  <c r="I400" i="1"/>
  <c r="I62" i="1"/>
  <c r="I321" i="1"/>
  <c r="I101" i="1"/>
  <c r="I561" i="1"/>
  <c r="I518" i="1"/>
  <c r="I463" i="1"/>
  <c r="I432" i="1"/>
  <c r="I213" i="1"/>
  <c r="I381" i="1"/>
  <c r="K308" i="1"/>
  <c r="T308" i="1" s="1"/>
  <c r="U308" i="1" s="1"/>
  <c r="I195" i="1"/>
  <c r="I616" i="1"/>
  <c r="I514" i="1"/>
  <c r="I490" i="1"/>
  <c r="I46" i="1"/>
  <c r="I604" i="1"/>
  <c r="I347" i="1"/>
  <c r="I363" i="1"/>
  <c r="I135" i="1"/>
  <c r="Q681" i="1"/>
  <c r="I168" i="1"/>
  <c r="I338" i="1"/>
  <c r="K322" i="1"/>
  <c r="T322" i="1" s="1"/>
  <c r="U322" i="1" s="1"/>
  <c r="I290" i="1"/>
  <c r="I298" i="1"/>
  <c r="I185" i="1"/>
  <c r="I627" i="1"/>
  <c r="I595" i="1"/>
  <c r="I545" i="1"/>
  <c r="I27" i="1"/>
  <c r="I133" i="1"/>
  <c r="K239" i="1"/>
  <c r="I51" i="1"/>
  <c r="I204" i="1"/>
  <c r="I355" i="1"/>
  <c r="I26" i="1"/>
  <c r="I366" i="1"/>
  <c r="I372" i="1"/>
  <c r="I464" i="1"/>
  <c r="I145" i="1"/>
  <c r="K293" i="1"/>
  <c r="T293" i="1" s="1"/>
  <c r="U293" i="1" s="1"/>
  <c r="I618" i="1"/>
  <c r="I628" i="1"/>
  <c r="I590" i="1"/>
  <c r="I126" i="1"/>
  <c r="I578" i="1"/>
  <c r="I548" i="1"/>
  <c r="I517" i="1"/>
  <c r="I497" i="1"/>
  <c r="K502" i="1"/>
  <c r="T502" i="1" s="1"/>
  <c r="U502" i="1" s="1"/>
  <c r="I422" i="1"/>
  <c r="I419" i="1"/>
  <c r="I407" i="1"/>
  <c r="I163" i="1"/>
  <c r="I642" i="1"/>
  <c r="I638" i="1"/>
  <c r="I653" i="1"/>
  <c r="I657" i="1"/>
  <c r="I664" i="1"/>
  <c r="I668" i="1"/>
  <c r="I601" i="1"/>
  <c r="I478" i="1"/>
  <c r="I416" i="1"/>
  <c r="I2" i="1"/>
  <c r="I77" i="1"/>
  <c r="I483" i="1"/>
  <c r="I425" i="1"/>
  <c r="I85" i="1"/>
  <c r="I210" i="1"/>
  <c r="I570" i="1"/>
  <c r="I512" i="1"/>
  <c r="I396" i="1"/>
  <c r="I252" i="1"/>
  <c r="I305" i="1"/>
  <c r="I264" i="1"/>
  <c r="I603" i="1"/>
  <c r="I455" i="1"/>
  <c r="I215" i="1"/>
  <c r="I250" i="1"/>
  <c r="I202" i="1"/>
  <c r="I625" i="1"/>
  <c r="I544" i="1"/>
  <c r="I506" i="1"/>
  <c r="I447" i="1"/>
  <c r="I415" i="1"/>
  <c r="I207" i="1"/>
  <c r="I113" i="1"/>
  <c r="I313" i="1"/>
  <c r="I30" i="1"/>
  <c r="I557" i="1"/>
  <c r="I488" i="1"/>
  <c r="I475" i="1"/>
  <c r="I403" i="1"/>
  <c r="I339" i="1"/>
  <c r="I83" i="1"/>
  <c r="I374" i="1"/>
  <c r="K622" i="1"/>
  <c r="I6" i="1"/>
  <c r="K238" i="1"/>
  <c r="T238" i="1" s="1"/>
  <c r="U238" i="1" s="1"/>
  <c r="I109" i="1"/>
  <c r="I275" i="1"/>
  <c r="I327" i="1"/>
  <c r="I58" i="1"/>
  <c r="I20" i="1"/>
  <c r="I180" i="1"/>
  <c r="K168" i="1"/>
  <c r="I343" i="1"/>
  <c r="I312" i="1"/>
  <c r="I134" i="1"/>
  <c r="I10" i="1"/>
  <c r="I294" i="1"/>
  <c r="I152" i="1"/>
  <c r="I466" i="1"/>
  <c r="I445" i="1"/>
  <c r="K27" i="1"/>
  <c r="I164" i="1"/>
  <c r="I141" i="1"/>
  <c r="I218" i="1"/>
  <c r="I157" i="1"/>
  <c r="I353" i="1"/>
  <c r="I358" i="1"/>
  <c r="I310" i="1"/>
  <c r="I624" i="1"/>
  <c r="K464" i="1"/>
  <c r="I284" i="1"/>
  <c r="I281" i="1"/>
  <c r="I317" i="1"/>
  <c r="I630" i="1"/>
  <c r="I138" i="1"/>
  <c r="I580" i="1"/>
  <c r="I540" i="1"/>
  <c r="I531" i="1"/>
  <c r="K517" i="1"/>
  <c r="I500" i="1"/>
  <c r="I487" i="1"/>
  <c r="I444" i="1"/>
  <c r="I426" i="1"/>
  <c r="I405" i="1"/>
  <c r="I410" i="1"/>
  <c r="I649" i="1"/>
  <c r="I655" i="1"/>
  <c r="I64" i="1"/>
  <c r="I672" i="1"/>
  <c r="I15" i="1"/>
  <c r="I598" i="1"/>
  <c r="I4" i="1"/>
  <c r="I385" i="1"/>
  <c r="I93" i="1"/>
  <c r="I84" i="1"/>
  <c r="I61" i="1"/>
  <c r="I645" i="1"/>
  <c r="I223" i="1"/>
  <c r="I584" i="1"/>
  <c r="I576" i="1"/>
  <c r="I477" i="1"/>
  <c r="I387" i="1"/>
  <c r="I39" i="1"/>
  <c r="I269" i="1"/>
  <c r="I258" i="1"/>
  <c r="I139" i="1"/>
  <c r="I401" i="1"/>
  <c r="I194" i="1"/>
  <c r="I245" i="1"/>
  <c r="I90" i="1"/>
  <c r="I192" i="1"/>
  <c r="I596" i="1"/>
  <c r="I522" i="1"/>
  <c r="I461" i="1"/>
  <c r="I439" i="1"/>
  <c r="I241" i="1"/>
  <c r="I80" i="1"/>
  <c r="I198" i="1"/>
  <c r="I612" i="1"/>
  <c r="I521" i="1"/>
  <c r="I489" i="1"/>
  <c r="I456" i="1"/>
  <c r="I393" i="1"/>
  <c r="I309" i="1"/>
  <c r="I364" i="1"/>
  <c r="N683" i="1"/>
  <c r="P681" i="1"/>
  <c r="P683" i="1"/>
  <c r="K311" i="1"/>
  <c r="T311" i="1" s="1"/>
  <c r="U311" i="1" s="1"/>
  <c r="K299" i="1"/>
  <c r="T299" i="1" s="1"/>
  <c r="U299" i="1" s="1"/>
  <c r="K595" i="1"/>
  <c r="K431" i="1"/>
  <c r="K234" i="1"/>
  <c r="K144" i="1"/>
  <c r="T144" i="1" s="1"/>
  <c r="U144" i="1" s="1"/>
  <c r="K366" i="1"/>
  <c r="T366" i="1" s="1"/>
  <c r="U366" i="1" s="1"/>
  <c r="K537" i="1"/>
  <c r="K336" i="1"/>
  <c r="K600" i="1"/>
  <c r="T600" i="1" s="1"/>
  <c r="U600" i="1" s="1"/>
  <c r="K578" i="1"/>
  <c r="T578" i="1" s="1"/>
  <c r="U578" i="1" s="1"/>
  <c r="K523" i="1"/>
  <c r="K486" i="1"/>
  <c r="T486" i="1" s="1"/>
  <c r="U486" i="1" s="1"/>
  <c r="K404" i="1"/>
  <c r="K642" i="1"/>
  <c r="K55" i="1"/>
  <c r="K159" i="1"/>
  <c r="K110" i="1"/>
  <c r="K91" i="1"/>
  <c r="T91" i="1" s="1"/>
  <c r="U91" i="1" s="1"/>
  <c r="K108" i="1"/>
  <c r="K244" i="1"/>
  <c r="K566" i="1"/>
  <c r="T566" i="1" s="1"/>
  <c r="U566" i="1" s="1"/>
  <c r="K384" i="1"/>
  <c r="K121" i="1"/>
  <c r="K400" i="1"/>
  <c r="K480" i="1"/>
  <c r="K468" i="1"/>
  <c r="K42" i="1"/>
  <c r="K67" i="1"/>
  <c r="T67" i="1" s="1"/>
  <c r="U67" i="1" s="1"/>
  <c r="K171" i="1"/>
  <c r="K179" i="1"/>
  <c r="T179" i="1" s="1"/>
  <c r="U179" i="1" s="1"/>
  <c r="K122" i="1"/>
  <c r="K298" i="1"/>
  <c r="K592" i="1"/>
  <c r="K437" i="1"/>
  <c r="T437" i="1" s="1"/>
  <c r="U437" i="1" s="1"/>
  <c r="K235" i="1"/>
  <c r="K204" i="1"/>
  <c r="K359" i="1"/>
  <c r="K632" i="1"/>
  <c r="K302" i="1"/>
  <c r="K628" i="1"/>
  <c r="K158" i="1"/>
  <c r="K527" i="1"/>
  <c r="T527" i="1" s="1"/>
  <c r="U527" i="1" s="1"/>
  <c r="K504" i="1"/>
  <c r="T504" i="1" s="1"/>
  <c r="U504" i="1" s="1"/>
  <c r="K419" i="1"/>
  <c r="K635" i="1"/>
  <c r="T635" i="1" s="1"/>
  <c r="U635" i="1" s="1"/>
  <c r="K104" i="1"/>
  <c r="K45" i="1"/>
  <c r="K583" i="1"/>
  <c r="K17" i="1"/>
  <c r="K597" i="1"/>
  <c r="K243" i="1"/>
  <c r="K146" i="1"/>
  <c r="K390" i="1"/>
  <c r="K304" i="1"/>
  <c r="K506" i="1"/>
  <c r="K475" i="1"/>
  <c r="K567" i="1"/>
  <c r="K195" i="1"/>
  <c r="K586" i="1"/>
  <c r="K530" i="1"/>
  <c r="K135" i="1"/>
  <c r="K376" i="1"/>
  <c r="K374" i="1"/>
  <c r="K368" i="1"/>
  <c r="T368" i="1" s="1"/>
  <c r="U368" i="1" s="1"/>
  <c r="K363" i="1"/>
  <c r="K362" i="1"/>
  <c r="K83" i="1"/>
  <c r="K335" i="1"/>
  <c r="K347" i="1"/>
  <c r="K340" i="1"/>
  <c r="T340" i="1" s="1"/>
  <c r="U340" i="1" s="1"/>
  <c r="K339" i="1"/>
  <c r="T339" i="1" s="1"/>
  <c r="U339" i="1" s="1"/>
  <c r="K393" i="1"/>
  <c r="K398" i="1"/>
  <c r="K414" i="1"/>
  <c r="K427" i="1"/>
  <c r="K456" i="1"/>
  <c r="K474" i="1"/>
  <c r="T474" i="1" s="1"/>
  <c r="U474" i="1" s="1"/>
  <c r="K479" i="1"/>
  <c r="K485" i="1"/>
  <c r="K489" i="1"/>
  <c r="T489" i="1" s="1"/>
  <c r="U489" i="1" s="1"/>
  <c r="K493" i="1"/>
  <c r="K508" i="1"/>
  <c r="T508" i="1" s="1"/>
  <c r="U508" i="1" s="1"/>
  <c r="K510" i="1"/>
  <c r="T510" i="1" s="1"/>
  <c r="U510" i="1" s="1"/>
  <c r="K521" i="1"/>
  <c r="K549" i="1"/>
  <c r="K573" i="1"/>
  <c r="T573" i="1" s="1"/>
  <c r="U573" i="1" s="1"/>
  <c r="K623" i="1"/>
  <c r="K612" i="1"/>
  <c r="K16" i="1"/>
  <c r="K186" i="1"/>
  <c r="T186" i="1" s="1"/>
  <c r="U186" i="1" s="1"/>
  <c r="K188" i="1"/>
  <c r="K198" i="1"/>
  <c r="K315" i="1"/>
  <c r="K256" i="1"/>
  <c r="T256" i="1" s="1"/>
  <c r="U256" i="1" s="1"/>
  <c r="K675" i="1"/>
  <c r="K113" i="1"/>
  <c r="T113" i="1" s="1"/>
  <c r="U113" i="1" s="1"/>
  <c r="K73" i="1"/>
  <c r="K381" i="1"/>
  <c r="T381" i="1" s="1"/>
  <c r="U381" i="1" s="1"/>
  <c r="K307" i="1"/>
  <c r="K207" i="1"/>
  <c r="K241" i="1"/>
  <c r="K399" i="1"/>
  <c r="K417" i="1"/>
  <c r="K155" i="1"/>
  <c r="T155" i="1" s="1"/>
  <c r="U155" i="1" s="1"/>
  <c r="K439" i="1"/>
  <c r="K448" i="1"/>
  <c r="K454" i="1"/>
  <c r="T454" i="1" s="1"/>
  <c r="U454" i="1" s="1"/>
  <c r="K458" i="1"/>
  <c r="K461" i="1"/>
  <c r="K507" i="1"/>
  <c r="T507" i="1" s="1"/>
  <c r="U507" i="1" s="1"/>
  <c r="K495" i="1"/>
  <c r="K519" i="1"/>
  <c r="K522" i="1"/>
  <c r="K529" i="1"/>
  <c r="T529" i="1" s="1"/>
  <c r="U529" i="1" s="1"/>
  <c r="K552" i="1"/>
  <c r="K565" i="1"/>
  <c r="T565" i="1" s="1"/>
  <c r="U565" i="1" s="1"/>
  <c r="K596" i="1"/>
  <c r="K629" i="1"/>
  <c r="K614" i="1"/>
  <c r="T614" i="1" s="1"/>
  <c r="U614" i="1" s="1"/>
  <c r="K229" i="1"/>
  <c r="T229" i="1" s="1"/>
  <c r="U229" i="1" s="1"/>
  <c r="K192" i="1"/>
  <c r="K273" i="1"/>
  <c r="K206" i="1"/>
  <c r="K216" i="1"/>
  <c r="T216" i="1" s="1"/>
  <c r="U216" i="1" s="1"/>
  <c r="K250" i="1"/>
  <c r="K197" i="1"/>
  <c r="K321" i="1"/>
  <c r="K211" i="1"/>
  <c r="K215" i="1"/>
  <c r="K221" i="1"/>
  <c r="K62" i="1"/>
  <c r="K47" i="1"/>
  <c r="K386" i="1"/>
  <c r="T386" i="1" s="1"/>
  <c r="U386" i="1" s="1"/>
  <c r="K401" i="1"/>
  <c r="K443" i="1"/>
  <c r="K453" i="1"/>
  <c r="K484" i="1"/>
  <c r="T484" i="1" s="1"/>
  <c r="U484" i="1" s="1"/>
  <c r="K139" i="1"/>
  <c r="T139" i="1" s="1"/>
  <c r="U139" i="1" s="1"/>
  <c r="K86" i="1"/>
  <c r="K621" i="1"/>
  <c r="K254" i="1"/>
  <c r="K361" i="1"/>
  <c r="K420" i="1"/>
  <c r="K509" i="1"/>
  <c r="K189" i="1"/>
  <c r="K80" i="1"/>
  <c r="K447" i="1"/>
  <c r="K544" i="1"/>
  <c r="K202" i="1"/>
  <c r="K53" i="1"/>
  <c r="K558" i="1"/>
  <c r="K364" i="1"/>
  <c r="K403" i="1"/>
  <c r="K488" i="1"/>
  <c r="K30" i="1"/>
  <c r="K380" i="1"/>
  <c r="K442" i="1"/>
  <c r="K528" i="1"/>
  <c r="K253" i="1"/>
  <c r="K220" i="1"/>
  <c r="K513" i="1"/>
  <c r="K258" i="1"/>
  <c r="T258" i="1" s="1"/>
  <c r="U258" i="1" s="1"/>
  <c r="K265" i="1"/>
  <c r="K266" i="1"/>
  <c r="K44" i="1"/>
  <c r="T44" i="1" s="1"/>
  <c r="U44" i="1" s="1"/>
  <c r="K269" i="1"/>
  <c r="K332" i="1"/>
  <c r="K79" i="1"/>
  <c r="K303" i="1"/>
  <c r="K39" i="1"/>
  <c r="K251" i="1"/>
  <c r="K607" i="1"/>
  <c r="K383" i="1"/>
  <c r="T383" i="1" s="1"/>
  <c r="U383" i="1" s="1"/>
  <c r="K387" i="1"/>
  <c r="K395" i="1"/>
  <c r="K412" i="1"/>
  <c r="T412" i="1" s="1"/>
  <c r="U412" i="1" s="1"/>
  <c r="K438" i="1"/>
  <c r="K477" i="1"/>
  <c r="K496" i="1"/>
  <c r="K525" i="1"/>
  <c r="K555" i="1"/>
  <c r="T555" i="1" s="1"/>
  <c r="U555" i="1" s="1"/>
  <c r="K576" i="1"/>
  <c r="K574" i="1"/>
  <c r="K569" i="1"/>
  <c r="T569" i="1" s="1"/>
  <c r="U569" i="1" s="1"/>
  <c r="K562" i="1"/>
  <c r="K584" i="1"/>
  <c r="T584" i="1" s="1"/>
  <c r="U584" i="1" s="1"/>
  <c r="K634" i="1"/>
  <c r="K222" i="1"/>
  <c r="K208" i="1"/>
  <c r="K223" i="1"/>
  <c r="K69" i="1"/>
  <c r="K98" i="1"/>
  <c r="T98" i="1" s="1"/>
  <c r="U98" i="1" s="1"/>
  <c r="K641" i="1"/>
  <c r="K645" i="1"/>
  <c r="T645" i="1" s="1"/>
  <c r="U645" i="1" s="1"/>
  <c r="K120" i="1"/>
  <c r="T120" i="1" s="1"/>
  <c r="U120" i="1" s="1"/>
  <c r="K33" i="1"/>
  <c r="T33" i="1" s="1"/>
  <c r="U33" i="1" s="1"/>
  <c r="K57" i="1"/>
  <c r="K61" i="1"/>
  <c r="K116" i="1"/>
  <c r="K123" i="1"/>
  <c r="K127" i="1"/>
  <c r="T127" i="1" s="1"/>
  <c r="U127" i="1" s="1"/>
  <c r="K84" i="1"/>
  <c r="K95" i="1"/>
  <c r="K3" i="1"/>
  <c r="K28" i="1"/>
  <c r="K93" i="1"/>
  <c r="K8" i="1"/>
  <c r="K118" i="1"/>
  <c r="K610" i="1"/>
  <c r="K385" i="1"/>
  <c r="K413" i="1"/>
  <c r="K153" i="1"/>
  <c r="K452" i="1"/>
  <c r="K4" i="1"/>
  <c r="K465" i="1"/>
  <c r="K128" i="1"/>
  <c r="K556" i="1"/>
  <c r="K598" i="1"/>
  <c r="T598" i="1" s="1"/>
  <c r="U598" i="1" s="1"/>
  <c r="K11" i="1"/>
  <c r="T11" i="1" s="1"/>
  <c r="U11" i="1" s="1"/>
  <c r="K124" i="1"/>
  <c r="K333" i="1"/>
  <c r="K15" i="1"/>
  <c r="K667" i="1"/>
  <c r="K669" i="1"/>
  <c r="K106" i="1"/>
  <c r="K672" i="1"/>
  <c r="T672" i="1" s="1"/>
  <c r="U672" i="1" s="1"/>
  <c r="K665" i="1"/>
  <c r="K129" i="1"/>
  <c r="K662" i="1"/>
  <c r="K64" i="1"/>
  <c r="K150" i="1"/>
  <c r="K656" i="1"/>
  <c r="K24" i="1"/>
  <c r="K655" i="1"/>
  <c r="K5" i="1"/>
  <c r="T5" i="1" s="1"/>
  <c r="U5" i="1" s="1"/>
  <c r="K651" i="1"/>
  <c r="T651" i="1" s="1"/>
  <c r="U651" i="1" s="1"/>
  <c r="K367" i="1"/>
  <c r="K397" i="1"/>
  <c r="T397" i="1" s="1"/>
  <c r="U397" i="1" s="1"/>
  <c r="K494" i="1"/>
  <c r="K240" i="1"/>
  <c r="K379" i="1"/>
  <c r="K432" i="1"/>
  <c r="T432" i="1" s="1"/>
  <c r="U432" i="1" s="1"/>
  <c r="K518" i="1"/>
  <c r="K101" i="1"/>
  <c r="T101" i="1" s="1"/>
  <c r="U101" i="1" s="1"/>
  <c r="K212" i="1"/>
  <c r="K459" i="1"/>
  <c r="K375" i="1"/>
  <c r="K324" i="1"/>
  <c r="K557" i="1"/>
  <c r="K418" i="1"/>
  <c r="T418" i="1" s="1"/>
  <c r="U418" i="1" s="1"/>
  <c r="K463" i="1"/>
  <c r="T463" i="1" s="1"/>
  <c r="U463" i="1" s="1"/>
  <c r="K320" i="1"/>
  <c r="K194" i="1"/>
  <c r="K267" i="1"/>
  <c r="K605" i="1"/>
  <c r="K535" i="1"/>
  <c r="K119" i="1"/>
  <c r="K78" i="1"/>
  <c r="T78" i="1" s="1"/>
  <c r="U78" i="1" s="1"/>
  <c r="K87" i="1"/>
  <c r="T87" i="1" s="1"/>
  <c r="U87" i="1" s="1"/>
  <c r="K449" i="1"/>
  <c r="K282" i="1"/>
  <c r="T282" i="1" s="1"/>
  <c r="U282" i="1" s="1"/>
  <c r="K663" i="1"/>
  <c r="K650" i="1"/>
  <c r="K65" i="1"/>
  <c r="T65" i="1" s="1"/>
  <c r="U65" i="1" s="1"/>
  <c r="K640" i="1"/>
  <c r="K638" i="1"/>
  <c r="T638" i="1" s="1"/>
  <c r="U638" i="1" s="1"/>
  <c r="K647" i="1"/>
  <c r="K643" i="1"/>
  <c r="T643" i="1" s="1"/>
  <c r="U643" i="1" s="1"/>
  <c r="K636" i="1"/>
  <c r="K608" i="1"/>
  <c r="T608" i="1" s="1"/>
  <c r="U608" i="1" s="1"/>
  <c r="K163" i="1"/>
  <c r="T163" i="1" s="1"/>
  <c r="U163" i="1" s="1"/>
  <c r="K394" i="1"/>
  <c r="K402" i="1"/>
  <c r="T402" i="1" s="1"/>
  <c r="U402" i="1" s="1"/>
  <c r="K409" i="1"/>
  <c r="K407" i="1"/>
  <c r="K405" i="1"/>
  <c r="K411" i="1"/>
  <c r="K421" i="1"/>
  <c r="K424" i="1"/>
  <c r="K422" i="1"/>
  <c r="K143" i="1"/>
  <c r="K436" i="1"/>
  <c r="T436" i="1" s="1"/>
  <c r="U436" i="1" s="1"/>
  <c r="K450" i="1"/>
  <c r="T450" i="1" s="1"/>
  <c r="U450" i="1" s="1"/>
  <c r="K476" i="1"/>
  <c r="T476" i="1" s="1"/>
  <c r="U476" i="1" s="1"/>
  <c r="K487" i="1"/>
  <c r="K503" i="1"/>
  <c r="K501" i="1"/>
  <c r="K499" i="1"/>
  <c r="K497" i="1"/>
  <c r="K492" i="1"/>
  <c r="T492" i="1" s="1"/>
  <c r="U492" i="1" s="1"/>
  <c r="K516" i="1"/>
  <c r="T516" i="1" s="1"/>
  <c r="U516" i="1" s="1"/>
  <c r="K524" i="1"/>
  <c r="T524" i="1" s="1"/>
  <c r="U524" i="1" s="1"/>
  <c r="K526" i="1"/>
  <c r="K531" i="1"/>
  <c r="K543" i="1"/>
  <c r="T543" i="1" s="1"/>
  <c r="U543" i="1" s="1"/>
  <c r="K541" i="1"/>
  <c r="T541" i="1" s="1"/>
  <c r="U541" i="1" s="1"/>
  <c r="K539" i="1"/>
  <c r="K548" i="1"/>
  <c r="T548" i="1" s="1"/>
  <c r="U548" i="1" s="1"/>
  <c r="K551" i="1"/>
  <c r="K559" i="1"/>
  <c r="K577" i="1"/>
  <c r="T577" i="1" s="1"/>
  <c r="U577" i="1" s="1"/>
  <c r="K572" i="1"/>
  <c r="T572" i="1" s="1"/>
  <c r="U572" i="1" s="1"/>
  <c r="K126" i="1"/>
  <c r="K563" i="1"/>
  <c r="K581" i="1"/>
  <c r="T581" i="1" s="1"/>
  <c r="U581" i="1" s="1"/>
  <c r="K585" i="1"/>
  <c r="K590" i="1"/>
  <c r="K138" i="1"/>
  <c r="K633" i="1"/>
  <c r="K631" i="1"/>
  <c r="T631" i="1" s="1"/>
  <c r="U631" i="1" s="1"/>
  <c r="K620" i="1"/>
  <c r="K618" i="1"/>
  <c r="K142" i="1"/>
  <c r="T142" i="1" s="1"/>
  <c r="U142" i="1" s="1"/>
  <c r="K568" i="1"/>
  <c r="K68" i="1"/>
  <c r="T68" i="1" s="1"/>
  <c r="U68" i="1" s="1"/>
  <c r="K96" i="1"/>
  <c r="K281" i="1"/>
  <c r="K125" i="1"/>
  <c r="K288" i="1"/>
  <c r="K286" i="1"/>
  <c r="K145" i="1"/>
  <c r="T145" i="1" s="1"/>
  <c r="U145" i="1" s="1"/>
  <c r="K297" i="1"/>
  <c r="K350" i="1"/>
  <c r="T350" i="1" s="1"/>
  <c r="U350" i="1" s="1"/>
  <c r="K520" i="1"/>
  <c r="K547" i="1"/>
  <c r="T547" i="1" s="1"/>
  <c r="U547" i="1" s="1"/>
  <c r="K624" i="1"/>
  <c r="K345" i="1"/>
  <c r="K346" i="1"/>
  <c r="K351" i="1"/>
  <c r="K372" i="1"/>
  <c r="T372" i="1" s="1"/>
  <c r="U372" i="1" s="1"/>
  <c r="K88" i="1"/>
  <c r="T88" i="1" s="1"/>
  <c r="U88" i="1" s="1"/>
  <c r="K136" i="1"/>
  <c r="K360" i="1"/>
  <c r="K22" i="1"/>
  <c r="K26" i="1"/>
  <c r="K9" i="1"/>
  <c r="T9" i="1" s="1"/>
  <c r="U9" i="1" s="1"/>
  <c r="K49" i="1"/>
  <c r="K357" i="1"/>
  <c r="T357" i="1" s="1"/>
  <c r="U357" i="1" s="1"/>
  <c r="K355" i="1"/>
  <c r="K353" i="1"/>
  <c r="K203" i="1"/>
  <c r="T203" i="1" s="1"/>
  <c r="U203" i="1" s="1"/>
  <c r="K205" i="1"/>
  <c r="K246" i="1"/>
  <c r="K51" i="1"/>
  <c r="K72" i="1"/>
  <c r="K217" i="1"/>
  <c r="T217" i="1" s="1"/>
  <c r="U217" i="1" s="1"/>
  <c r="K224" i="1"/>
  <c r="K226" i="1"/>
  <c r="K141" i="1"/>
  <c r="K236" i="1"/>
  <c r="K191" i="1"/>
  <c r="K190" i="1"/>
  <c r="K133" i="1"/>
  <c r="K257" i="1"/>
  <c r="T257" i="1" s="1"/>
  <c r="U257" i="1" s="1"/>
  <c r="K388" i="1"/>
  <c r="K611" i="1"/>
  <c r="K435" i="1"/>
  <c r="K445" i="1"/>
  <c r="K63" i="1"/>
  <c r="K467" i="1"/>
  <c r="K472" i="1"/>
  <c r="K545" i="1"/>
  <c r="K560" i="1"/>
  <c r="T560" i="1" s="1"/>
  <c r="U560" i="1" s="1"/>
  <c r="K587" i="1"/>
  <c r="K591" i="1"/>
  <c r="T591" i="1" s="1"/>
  <c r="U591" i="1" s="1"/>
  <c r="K593" i="1"/>
  <c r="K627" i="1"/>
  <c r="K644" i="1"/>
  <c r="K187" i="1"/>
  <c r="K148" i="1"/>
  <c r="T148" i="1" s="1"/>
  <c r="U148" i="1" s="1"/>
  <c r="K185" i="1"/>
  <c r="T185" i="1" s="1"/>
  <c r="U185" i="1" s="1"/>
  <c r="K294" i="1"/>
  <c r="K300" i="1"/>
  <c r="K292" i="1"/>
  <c r="K41" i="1"/>
  <c r="K290" i="1"/>
  <c r="K289" i="1"/>
  <c r="K295" i="1"/>
  <c r="T295" i="1" s="1"/>
  <c r="U295" i="1" s="1"/>
  <c r="K201" i="1"/>
  <c r="K319" i="1"/>
  <c r="K312" i="1"/>
  <c r="T312" i="1" s="1"/>
  <c r="U312" i="1" s="1"/>
  <c r="K114" i="1"/>
  <c r="T114" i="1" s="1"/>
  <c r="U114" i="1" s="1"/>
  <c r="K316" i="1"/>
  <c r="K342" i="1"/>
  <c r="K338" i="1"/>
  <c r="K137" i="1"/>
  <c r="K169" i="1"/>
  <c r="T169" i="1" s="1"/>
  <c r="U169" i="1" s="1"/>
  <c r="K181" i="1"/>
  <c r="K7" i="1"/>
  <c r="T7" i="1" s="1"/>
  <c r="U7" i="1" s="1"/>
  <c r="K178" i="1"/>
  <c r="K20" i="1"/>
  <c r="K176" i="1"/>
  <c r="K175" i="1"/>
  <c r="T175" i="1" s="1"/>
  <c r="U175" i="1" s="1"/>
  <c r="K173" i="1"/>
  <c r="T173" i="1" s="1"/>
  <c r="U173" i="1" s="1"/>
  <c r="K58" i="1"/>
  <c r="K38" i="1"/>
  <c r="T38" i="1" s="1"/>
  <c r="U38" i="1" s="1"/>
  <c r="K172" i="1"/>
  <c r="T172" i="1" s="1"/>
  <c r="U172" i="1" s="1"/>
  <c r="K328" i="1"/>
  <c r="K326" i="1"/>
  <c r="K329" i="1"/>
  <c r="K325" i="1"/>
  <c r="T325" i="1" s="1"/>
  <c r="U325" i="1" s="1"/>
  <c r="K280" i="1"/>
  <c r="T280" i="1" s="1"/>
  <c r="U280" i="1" s="1"/>
  <c r="K37" i="1"/>
  <c r="K81" i="1"/>
  <c r="K274" i="1"/>
  <c r="T274" i="1" s="1"/>
  <c r="U274" i="1" s="1"/>
  <c r="K276" i="1"/>
  <c r="K277" i="1"/>
  <c r="K166" i="1"/>
  <c r="K231" i="1"/>
  <c r="K109" i="1"/>
  <c r="K89" i="1"/>
  <c r="K35" i="1"/>
  <c r="K382" i="1"/>
  <c r="K32" i="1"/>
  <c r="K471" i="1"/>
  <c r="K75" i="1"/>
  <c r="K378" i="1"/>
  <c r="T378" i="1" s="1"/>
  <c r="U378" i="1" s="1"/>
  <c r="K490" i="1"/>
  <c r="T490" i="1" s="1"/>
  <c r="U490" i="1" s="1"/>
  <c r="K532" i="1"/>
  <c r="T532" i="1" s="1"/>
  <c r="U532" i="1" s="1"/>
  <c r="K415" i="1"/>
  <c r="K457" i="1"/>
  <c r="K242" i="1"/>
  <c r="K264" i="1"/>
  <c r="K252" i="1"/>
  <c r="K512" i="1"/>
  <c r="K210" i="1"/>
  <c r="K425" i="1"/>
  <c r="K77" i="1"/>
  <c r="K416" i="1"/>
  <c r="K601" i="1"/>
  <c r="T601" i="1" s="1"/>
  <c r="U601" i="1" s="1"/>
  <c r="K664" i="1"/>
  <c r="K653" i="1"/>
  <c r="K352" i="1"/>
  <c r="T352" i="1" s="1"/>
  <c r="U352" i="1" s="1"/>
  <c r="K481" i="1"/>
  <c r="K514" i="1"/>
  <c r="K389" i="1"/>
  <c r="K230" i="1"/>
  <c r="K219" i="1"/>
  <c r="T219" i="1" s="1"/>
  <c r="U219" i="1" s="1"/>
  <c r="K263" i="1"/>
  <c r="K71" i="1"/>
  <c r="K482" i="1"/>
  <c r="K588" i="1"/>
  <c r="K102" i="1"/>
  <c r="K76" i="1"/>
  <c r="K392" i="1"/>
  <c r="K94" i="1"/>
  <c r="T94" i="1" s="1"/>
  <c r="U94" i="1" s="1"/>
  <c r="K673" i="1"/>
  <c r="T673" i="1" s="1"/>
  <c r="U673" i="1" s="1"/>
  <c r="K29" i="1"/>
  <c r="K323" i="1"/>
  <c r="K46" i="1"/>
  <c r="T46" i="1" s="1"/>
  <c r="U46" i="1" s="1"/>
  <c r="K313" i="1"/>
  <c r="K511" i="1"/>
  <c r="K561" i="1"/>
  <c r="T561" i="1" s="1"/>
  <c r="U561" i="1" s="1"/>
  <c r="K434" i="1"/>
  <c r="T434" i="1" s="1"/>
  <c r="U434" i="1" s="1"/>
  <c r="K603" i="1"/>
  <c r="K305" i="1"/>
  <c r="K396" i="1"/>
  <c r="T396" i="1" s="1"/>
  <c r="U396" i="1" s="1"/>
  <c r="K570" i="1"/>
  <c r="T570" i="1" s="1"/>
  <c r="U570" i="1" s="1"/>
  <c r="K85" i="1"/>
  <c r="K483" i="1"/>
  <c r="K2" i="1"/>
  <c r="K478" i="1"/>
  <c r="K668" i="1"/>
  <c r="K657" i="1"/>
  <c r="K249" i="1"/>
  <c r="T249" i="1" s="1"/>
  <c r="U249" i="1" s="1"/>
  <c r="K330" i="1"/>
  <c r="K343" i="1"/>
  <c r="K654" i="1"/>
  <c r="T654" i="1" s="1"/>
  <c r="U654" i="1" s="1"/>
  <c r="K247" i="1"/>
  <c r="K349" i="1"/>
  <c r="K542" i="1"/>
  <c r="T542" i="1" s="1"/>
  <c r="U542" i="1" s="1"/>
  <c r="K500" i="1"/>
  <c r="T500" i="1" s="1"/>
  <c r="U500" i="1" s="1"/>
  <c r="K455" i="1"/>
  <c r="K52" i="1"/>
  <c r="K331" i="1"/>
  <c r="K674" i="1"/>
  <c r="K227" i="1"/>
  <c r="K534" i="1"/>
  <c r="T534" i="1" s="1"/>
  <c r="U534" i="1" s="1"/>
  <c r="K446" i="1"/>
  <c r="K167" i="1"/>
  <c r="K92" i="1"/>
  <c r="K533" i="1"/>
  <c r="K232" i="1"/>
  <c r="T232" i="1" s="1"/>
  <c r="U232" i="1" s="1"/>
  <c r="K183" i="1"/>
  <c r="K209" i="1"/>
  <c r="K661" i="1"/>
  <c r="K228" i="1"/>
  <c r="K637" i="1"/>
  <c r="T637" i="1" s="1"/>
  <c r="U637" i="1" s="1"/>
  <c r="K272" i="1"/>
  <c r="K619" i="1"/>
  <c r="T619" i="1" s="1"/>
  <c r="U619" i="1" s="1"/>
  <c r="K469" i="1"/>
  <c r="K271" i="1"/>
  <c r="K147" i="1"/>
  <c r="K515" i="1"/>
  <c r="K659" i="1"/>
  <c r="T659" i="1" s="1"/>
  <c r="U659" i="1" s="1"/>
  <c r="K259" i="1"/>
  <c r="K111" i="1"/>
  <c r="K100" i="1"/>
  <c r="T100" i="1" s="1"/>
  <c r="U100" i="1" s="1"/>
  <c r="K6" i="1"/>
  <c r="T6" i="1" s="1"/>
  <c r="U6" i="1" s="1"/>
  <c r="K344" i="1"/>
  <c r="T344" i="1" s="1"/>
  <c r="U344" i="1" s="1"/>
  <c r="K182" i="1"/>
  <c r="K165" i="1"/>
  <c r="T165" i="1" s="1"/>
  <c r="U165" i="1" s="1"/>
  <c r="K156" i="1"/>
  <c r="K12" i="1"/>
  <c r="K341" i="1"/>
  <c r="K291" i="1"/>
  <c r="T291" i="1" s="1"/>
  <c r="U291" i="1" s="1"/>
  <c r="K237" i="1"/>
  <c r="K466" i="1"/>
  <c r="K196" i="1"/>
  <c r="K248" i="1"/>
  <c r="T248" i="1" s="1"/>
  <c r="U248" i="1" s="1"/>
  <c r="K59" i="1"/>
  <c r="K310" i="1"/>
  <c r="K287" i="1"/>
  <c r="K617" i="1"/>
  <c r="K582" i="1"/>
  <c r="K540" i="1"/>
  <c r="T540" i="1" s="1"/>
  <c r="U540" i="1" s="1"/>
  <c r="K498" i="1"/>
  <c r="K430" i="1"/>
  <c r="K162" i="1"/>
  <c r="K649" i="1"/>
  <c r="K660" i="1"/>
  <c r="K670" i="1"/>
  <c r="T670" i="1" s="1"/>
  <c r="U670" i="1" s="1"/>
  <c r="K460" i="1"/>
  <c r="K334" i="1"/>
  <c r="K21" i="1"/>
  <c r="K112" i="1"/>
  <c r="K553" i="1"/>
  <c r="K160" i="1"/>
  <c r="K268" i="1"/>
  <c r="K626" i="1"/>
  <c r="K309" i="1"/>
  <c r="T309" i="1" s="1"/>
  <c r="U309" i="1" s="1"/>
  <c r="K105" i="1"/>
  <c r="K103" i="1"/>
  <c r="K470" i="1"/>
  <c r="K164" i="1"/>
  <c r="K613" i="1"/>
  <c r="K423" i="1"/>
  <c r="K391" i="1"/>
  <c r="K233" i="1"/>
  <c r="T233" i="1" s="1"/>
  <c r="U233" i="1" s="1"/>
  <c r="K278" i="1"/>
  <c r="K174" i="1"/>
  <c r="T174" i="1" s="1"/>
  <c r="U174" i="1" s="1"/>
  <c r="K337" i="1"/>
  <c r="K285" i="1"/>
  <c r="K152" i="1"/>
  <c r="K161" i="1"/>
  <c r="K200" i="1"/>
  <c r="T200" i="1" s="1"/>
  <c r="U200" i="1" s="1"/>
  <c r="K214" i="1"/>
  <c r="K358" i="1"/>
  <c r="K377" i="1"/>
  <c r="K296" i="1"/>
  <c r="T296" i="1" s="1"/>
  <c r="U296" i="1" s="1"/>
  <c r="K615" i="1"/>
  <c r="K580" i="1"/>
  <c r="K538" i="1"/>
  <c r="K151" i="1"/>
  <c r="K440" i="1"/>
  <c r="K410" i="1"/>
  <c r="T410" i="1" s="1"/>
  <c r="U410" i="1" s="1"/>
  <c r="K639" i="1"/>
  <c r="K658" i="1"/>
  <c r="T658" i="1" s="1"/>
  <c r="U658" i="1" s="1"/>
  <c r="K671" i="1"/>
  <c r="K34" i="1"/>
  <c r="K132" i="1"/>
  <c r="K54" i="1"/>
  <c r="K97" i="1"/>
  <c r="K575" i="1"/>
  <c r="K473" i="1"/>
  <c r="K260" i="1"/>
  <c r="K36" i="1"/>
  <c r="T36" i="1" s="1"/>
  <c r="U36" i="1" s="1"/>
  <c r="K602" i="1"/>
  <c r="T602" i="1" s="1"/>
  <c r="U602" i="1" s="1"/>
  <c r="K48" i="1"/>
  <c r="K43" i="1"/>
  <c r="K284" i="1"/>
  <c r="K564" i="1"/>
  <c r="K117" i="1"/>
  <c r="K314" i="1"/>
  <c r="K616" i="1"/>
  <c r="K348" i="1"/>
  <c r="O677" i="1"/>
  <c r="S677" i="1"/>
  <c r="K66" i="1"/>
  <c r="K275" i="1"/>
  <c r="K74" i="1"/>
  <c r="K170" i="1"/>
  <c r="K134" i="1"/>
  <c r="K184" i="1"/>
  <c r="T184" i="1" s="1"/>
  <c r="U184" i="1" s="1"/>
  <c r="K554" i="1"/>
  <c r="K99" i="1"/>
  <c r="T99" i="1" s="1"/>
  <c r="U99" i="1" s="1"/>
  <c r="K218" i="1"/>
  <c r="T218" i="1" s="1"/>
  <c r="U218" i="1" s="1"/>
  <c r="K356" i="1"/>
  <c r="K373" i="1"/>
  <c r="K283" i="1"/>
  <c r="K317" i="1"/>
  <c r="K589" i="1"/>
  <c r="T589" i="1" s="1"/>
  <c r="U589" i="1" s="1"/>
  <c r="K546" i="1"/>
  <c r="K491" i="1"/>
  <c r="T491" i="1" s="1"/>
  <c r="U491" i="1" s="1"/>
  <c r="K444" i="1"/>
  <c r="K408" i="1"/>
  <c r="K648" i="1"/>
  <c r="T648" i="1" s="1"/>
  <c r="U648" i="1" s="1"/>
  <c r="K245" i="1"/>
  <c r="K625" i="1"/>
  <c r="K306" i="1"/>
  <c r="K262" i="1"/>
  <c r="M683" i="1"/>
  <c r="M681" i="1"/>
  <c r="T354" i="1" l="1"/>
  <c r="U354" i="1" s="1"/>
  <c r="T21" i="1"/>
  <c r="U21" i="1" s="1"/>
  <c r="T182" i="1"/>
  <c r="U182" i="1" s="1"/>
  <c r="T209" i="1"/>
  <c r="U209" i="1" s="1"/>
  <c r="T360" i="1"/>
  <c r="U360" i="1" s="1"/>
  <c r="T315" i="1"/>
  <c r="U315" i="1" s="1"/>
  <c r="T171" i="1"/>
  <c r="U171" i="1" s="1"/>
  <c r="T333" i="1"/>
  <c r="U333" i="1" s="1"/>
  <c r="T210" i="1"/>
  <c r="U210" i="1" s="1"/>
  <c r="T135" i="1"/>
  <c r="U135" i="1" s="1"/>
  <c r="T545" i="1"/>
  <c r="U545" i="1" s="1"/>
  <c r="T655" i="1"/>
  <c r="U655" i="1" s="1"/>
  <c r="T273" i="1"/>
  <c r="U273" i="1" s="1"/>
  <c r="T414" i="1"/>
  <c r="U414" i="1" s="1"/>
  <c r="T468" i="1"/>
  <c r="U468" i="1" s="1"/>
  <c r="T539" i="1"/>
  <c r="U539" i="1" s="1"/>
  <c r="T641" i="1"/>
  <c r="U641" i="1" s="1"/>
  <c r="T403" i="1"/>
  <c r="U403" i="1" s="1"/>
  <c r="T398" i="1"/>
  <c r="U398" i="1" s="1"/>
  <c r="T17" i="1"/>
  <c r="U17" i="1" s="1"/>
  <c r="T39" i="1"/>
  <c r="U39" i="1" s="1"/>
  <c r="T221" i="1"/>
  <c r="U221" i="1" s="1"/>
  <c r="T538" i="1"/>
  <c r="U538" i="1" s="1"/>
  <c r="T268" i="1"/>
  <c r="U268" i="1" s="1"/>
  <c r="T348" i="1"/>
  <c r="U348" i="1" s="1"/>
  <c r="T259" i="1"/>
  <c r="U259" i="1" s="1"/>
  <c r="T79" i="1"/>
  <c r="U79" i="1" s="1"/>
  <c r="T84" i="1"/>
  <c r="U84" i="1" s="1"/>
  <c r="T660" i="1"/>
  <c r="U660" i="1" s="1"/>
  <c r="T455" i="1"/>
  <c r="U455" i="1" s="1"/>
  <c r="T12" i="1"/>
  <c r="U12" i="1" s="1"/>
  <c r="T656" i="1"/>
  <c r="U656" i="1" s="1"/>
  <c r="T612" i="1"/>
  <c r="U612" i="1" s="1"/>
  <c r="T140" i="1"/>
  <c r="U140" i="1" s="1"/>
  <c r="T511" i="1"/>
  <c r="U511" i="1" s="1"/>
  <c r="T319" i="1"/>
  <c r="U319" i="1" s="1"/>
  <c r="T343" i="1"/>
  <c r="U343" i="1" s="1"/>
  <c r="T37" i="1"/>
  <c r="U37" i="1" s="1"/>
  <c r="T496" i="1"/>
  <c r="U496" i="1" s="1"/>
  <c r="T188" i="1"/>
  <c r="U188" i="1" s="1"/>
  <c r="T235" i="1"/>
  <c r="U235" i="1" s="1"/>
  <c r="T54" i="1"/>
  <c r="U54" i="1" s="1"/>
  <c r="T391" i="1"/>
  <c r="U391" i="1" s="1"/>
  <c r="T533" i="1"/>
  <c r="U533" i="1" s="1"/>
  <c r="T137" i="1"/>
  <c r="U137" i="1" s="1"/>
  <c r="T297" i="1"/>
  <c r="U297" i="1" s="1"/>
  <c r="T80" i="1"/>
  <c r="U80" i="1" s="1"/>
  <c r="T462" i="1"/>
  <c r="U462" i="1" s="1"/>
  <c r="T245" i="1"/>
  <c r="U245" i="1" s="1"/>
  <c r="T337" i="1"/>
  <c r="U337" i="1" s="1"/>
  <c r="T430" i="1"/>
  <c r="U430" i="1" s="1"/>
  <c r="T276" i="1"/>
  <c r="U276" i="1" s="1"/>
  <c r="T236" i="1"/>
  <c r="U236" i="1" s="1"/>
  <c r="T205" i="1"/>
  <c r="U205" i="1" s="1"/>
  <c r="T22" i="1"/>
  <c r="U22" i="1" s="1"/>
  <c r="T624" i="1"/>
  <c r="U624" i="1" s="1"/>
  <c r="T531" i="1"/>
  <c r="U531" i="1" s="1"/>
  <c r="T93" i="1"/>
  <c r="U93" i="1" s="1"/>
  <c r="T387" i="1"/>
  <c r="U387" i="1" s="1"/>
  <c r="T53" i="1"/>
  <c r="U53" i="1" s="1"/>
  <c r="T197" i="1"/>
  <c r="U197" i="1" s="1"/>
  <c r="T479" i="1"/>
  <c r="U479" i="1" s="1"/>
  <c r="T376" i="1"/>
  <c r="U376" i="1" s="1"/>
  <c r="T304" i="1"/>
  <c r="U304" i="1" s="1"/>
  <c r="T632" i="1"/>
  <c r="U632" i="1" s="1"/>
  <c r="T384" i="1"/>
  <c r="U384" i="1" s="1"/>
  <c r="T60" i="1"/>
  <c r="U60" i="1" s="1"/>
  <c r="T594" i="1"/>
  <c r="U594" i="1" s="1"/>
  <c r="T198" i="1"/>
  <c r="U198" i="1" s="1"/>
  <c r="T582" i="1"/>
  <c r="U582" i="1" s="1"/>
  <c r="T102" i="1"/>
  <c r="U102" i="1" s="1"/>
  <c r="T551" i="1"/>
  <c r="U551" i="1" s="1"/>
  <c r="T251" i="1"/>
  <c r="U251" i="1" s="1"/>
  <c r="T307" i="1"/>
  <c r="U307" i="1" s="1"/>
  <c r="T568" i="1"/>
  <c r="U568" i="1" s="1"/>
  <c r="T488" i="1"/>
  <c r="U488" i="1" s="1"/>
  <c r="T448" i="1"/>
  <c r="U448" i="1" s="1"/>
  <c r="T195" i="1"/>
  <c r="U195" i="1" s="1"/>
  <c r="T546" i="1"/>
  <c r="U546" i="1" s="1"/>
  <c r="T111" i="1"/>
  <c r="U111" i="1" s="1"/>
  <c r="T272" i="1"/>
  <c r="U272" i="1" s="1"/>
  <c r="T72" i="1"/>
  <c r="U72" i="1" s="1"/>
  <c r="T49" i="1"/>
  <c r="U49" i="1" s="1"/>
  <c r="T143" i="1"/>
  <c r="U143" i="1" s="1"/>
  <c r="T119" i="1"/>
  <c r="U119" i="1" s="1"/>
  <c r="T562" i="1"/>
  <c r="U562" i="1" s="1"/>
  <c r="T189" i="1"/>
  <c r="U189" i="1" s="1"/>
  <c r="T16" i="1"/>
  <c r="U16" i="1" s="1"/>
  <c r="T493" i="1"/>
  <c r="U493" i="1" s="1"/>
  <c r="T607" i="1"/>
  <c r="U607" i="1" s="1"/>
  <c r="T469" i="1"/>
  <c r="U469" i="1" s="1"/>
  <c r="T85" i="1"/>
  <c r="U85" i="1" s="1"/>
  <c r="T425" i="1"/>
  <c r="U425" i="1" s="1"/>
  <c r="T665" i="1"/>
  <c r="U665" i="1" s="1"/>
  <c r="T95" i="1"/>
  <c r="U95" i="1" s="1"/>
  <c r="T447" i="1"/>
  <c r="U447" i="1" s="1"/>
  <c r="T586" i="1"/>
  <c r="U586" i="1" s="1"/>
  <c r="T42" i="1"/>
  <c r="U42" i="1" s="1"/>
  <c r="T43" i="1"/>
  <c r="U43" i="1" s="1"/>
  <c r="T626" i="1"/>
  <c r="U626" i="1" s="1"/>
  <c r="T330" i="1"/>
  <c r="U330" i="1" s="1"/>
  <c r="T385" i="1"/>
  <c r="U385" i="1" s="1"/>
  <c r="T477" i="1"/>
  <c r="U477" i="1" s="1"/>
  <c r="T362" i="1"/>
  <c r="U362" i="1" s="1"/>
  <c r="T595" i="1"/>
  <c r="U595" i="1" s="1"/>
  <c r="T261" i="1"/>
  <c r="U261" i="1" s="1"/>
  <c r="T554" i="1"/>
  <c r="U554" i="1" s="1"/>
  <c r="T423" i="1"/>
  <c r="U423" i="1" s="1"/>
  <c r="T287" i="1"/>
  <c r="U287" i="1" s="1"/>
  <c r="T167" i="1"/>
  <c r="U167" i="1" s="1"/>
  <c r="T563" i="1"/>
  <c r="U563" i="1" s="1"/>
  <c r="T422" i="1"/>
  <c r="U422" i="1" s="1"/>
  <c r="T535" i="1"/>
  <c r="U535" i="1" s="1"/>
  <c r="T240" i="1"/>
  <c r="U240" i="1" s="1"/>
  <c r="T118" i="1"/>
  <c r="U118" i="1" s="1"/>
  <c r="T123" i="1"/>
  <c r="U123" i="1" s="1"/>
  <c r="T220" i="1"/>
  <c r="U220" i="1" s="1"/>
  <c r="T364" i="1"/>
  <c r="U364" i="1" s="1"/>
  <c r="T211" i="1"/>
  <c r="U211" i="1" s="1"/>
  <c r="T475" i="1"/>
  <c r="U475" i="1" s="1"/>
  <c r="T628" i="1"/>
  <c r="U628" i="1" s="1"/>
  <c r="T159" i="1"/>
  <c r="U159" i="1" s="1"/>
  <c r="T278" i="1"/>
  <c r="U278" i="1" s="1"/>
  <c r="T419" i="1"/>
  <c r="U419" i="1" s="1"/>
  <c r="T440" i="1"/>
  <c r="U440" i="1" s="1"/>
  <c r="T201" i="1"/>
  <c r="U201" i="1" s="1"/>
  <c r="T355" i="1"/>
  <c r="U355" i="1" s="1"/>
  <c r="T590" i="1"/>
  <c r="U590" i="1" s="1"/>
  <c r="T52" i="1"/>
  <c r="U52" i="1" s="1"/>
  <c r="T481" i="1"/>
  <c r="U481" i="1" s="1"/>
  <c r="T109" i="1"/>
  <c r="U109" i="1" s="1"/>
  <c r="T585" i="1"/>
  <c r="U585" i="1" s="1"/>
  <c r="T409" i="1"/>
  <c r="U409" i="1" s="1"/>
  <c r="T597" i="1"/>
  <c r="U597" i="1" s="1"/>
  <c r="T613" i="1"/>
  <c r="U613" i="1" s="1"/>
  <c r="T649" i="1"/>
  <c r="U649" i="1" s="1"/>
  <c r="T29" i="1"/>
  <c r="U29" i="1" s="1"/>
  <c r="T75" i="1"/>
  <c r="U75" i="1" s="1"/>
  <c r="T329" i="1"/>
  <c r="U329" i="1" s="1"/>
  <c r="T342" i="1"/>
  <c r="U342" i="1" s="1"/>
  <c r="T616" i="1"/>
  <c r="U616" i="1" s="1"/>
  <c r="T671" i="1"/>
  <c r="U671" i="1" s="1"/>
  <c r="T164" i="1"/>
  <c r="U164" i="1" s="1"/>
  <c r="T162" i="1"/>
  <c r="U162" i="1" s="1"/>
  <c r="T668" i="1"/>
  <c r="U668" i="1" s="1"/>
  <c r="T603" i="1"/>
  <c r="U603" i="1" s="1"/>
  <c r="T664" i="1"/>
  <c r="U664" i="1" s="1"/>
  <c r="T264" i="1"/>
  <c r="U264" i="1" s="1"/>
  <c r="T326" i="1"/>
  <c r="U326" i="1" s="1"/>
  <c r="T316" i="1"/>
  <c r="U316" i="1" s="1"/>
  <c r="T627" i="1"/>
  <c r="U627" i="1" s="1"/>
  <c r="T191" i="1"/>
  <c r="U191" i="1" s="1"/>
  <c r="T26" i="1"/>
  <c r="U26" i="1" s="1"/>
  <c r="T620" i="1"/>
  <c r="U620" i="1" s="1"/>
  <c r="T605" i="1"/>
  <c r="U605" i="1" s="1"/>
  <c r="T150" i="1"/>
  <c r="U150" i="1" s="1"/>
  <c r="T395" i="1"/>
  <c r="U395" i="1" s="1"/>
  <c r="T332" i="1"/>
  <c r="U332" i="1" s="1"/>
  <c r="T420" i="1"/>
  <c r="U420" i="1" s="1"/>
  <c r="T417" i="1"/>
  <c r="U417" i="1" s="1"/>
  <c r="T485" i="1"/>
  <c r="U485" i="1" s="1"/>
  <c r="T506" i="1"/>
  <c r="U506" i="1" s="1"/>
  <c r="T122" i="1"/>
  <c r="U122" i="1" s="1"/>
  <c r="T55" i="1"/>
  <c r="U55" i="1" s="1"/>
  <c r="T537" i="1"/>
  <c r="U537" i="1" s="1"/>
  <c r="T252" i="1"/>
  <c r="U252" i="1" s="1"/>
  <c r="T51" i="1"/>
  <c r="U51" i="1" s="1"/>
  <c r="T453" i="1"/>
  <c r="U453" i="1" s="1"/>
  <c r="T519" i="1"/>
  <c r="U519" i="1" s="1"/>
  <c r="T298" i="1"/>
  <c r="U298" i="1" s="1"/>
  <c r="T400" i="1"/>
  <c r="U400" i="1" s="1"/>
  <c r="T336" i="1"/>
  <c r="U336" i="1" s="1"/>
  <c r="T107" i="1"/>
  <c r="U107" i="1" s="1"/>
  <c r="T199" i="1"/>
  <c r="U199" i="1" s="1"/>
  <c r="T134" i="1"/>
  <c r="U134" i="1" s="1"/>
  <c r="T285" i="1"/>
  <c r="U285" i="1" s="1"/>
  <c r="T228" i="1"/>
  <c r="U228" i="1" s="1"/>
  <c r="T263" i="1"/>
  <c r="U263" i="1" s="1"/>
  <c r="T471" i="1"/>
  <c r="U471" i="1" s="1"/>
  <c r="T63" i="1"/>
  <c r="U63" i="1" s="1"/>
  <c r="T288" i="1"/>
  <c r="U288" i="1" s="1"/>
  <c r="T126" i="1"/>
  <c r="U126" i="1" s="1"/>
  <c r="T424" i="1"/>
  <c r="U424" i="1" s="1"/>
  <c r="T650" i="1"/>
  <c r="U650" i="1" s="1"/>
  <c r="T667" i="1"/>
  <c r="U667" i="1" s="1"/>
  <c r="T8" i="1"/>
  <c r="U8" i="1" s="1"/>
  <c r="T69" i="1"/>
  <c r="U69" i="1" s="1"/>
  <c r="T574" i="1"/>
  <c r="U574" i="1" s="1"/>
  <c r="T121" i="1"/>
  <c r="U121" i="1" s="1"/>
  <c r="T306" i="1"/>
  <c r="U306" i="1" s="1"/>
  <c r="T34" i="1"/>
  <c r="U34" i="1" s="1"/>
  <c r="T653" i="1"/>
  <c r="U653" i="1" s="1"/>
  <c r="T644" i="1"/>
  <c r="U644" i="1" s="1"/>
  <c r="T128" i="1"/>
  <c r="U128" i="1" s="1"/>
  <c r="T196" i="1"/>
  <c r="U196" i="1" s="1"/>
  <c r="T147" i="1"/>
  <c r="U147" i="1" s="1"/>
  <c r="T247" i="1"/>
  <c r="U247" i="1" s="1"/>
  <c r="T300" i="1"/>
  <c r="U300" i="1" s="1"/>
  <c r="T435" i="1"/>
  <c r="U435" i="1" s="1"/>
  <c r="T141" i="1"/>
  <c r="U141" i="1" s="1"/>
  <c r="T57" i="1"/>
  <c r="U57" i="1" s="1"/>
  <c r="T549" i="1"/>
  <c r="U549" i="1" s="1"/>
  <c r="T359" i="1"/>
  <c r="U359" i="1" s="1"/>
  <c r="T290" i="1"/>
  <c r="U290" i="1" s="1"/>
  <c r="T669" i="1"/>
  <c r="U669" i="1" s="1"/>
  <c r="T373" i="1"/>
  <c r="U373" i="1" s="1"/>
  <c r="T117" i="1"/>
  <c r="U117" i="1" s="1"/>
  <c r="T356" i="1"/>
  <c r="U356" i="1" s="1"/>
  <c r="T275" i="1"/>
  <c r="U275" i="1" s="1"/>
  <c r="T564" i="1"/>
  <c r="U564" i="1" s="1"/>
  <c r="T334" i="1"/>
  <c r="U334" i="1" s="1"/>
  <c r="T674" i="1"/>
  <c r="U674" i="1" s="1"/>
  <c r="T389" i="1"/>
  <c r="U389" i="1" s="1"/>
  <c r="T415" i="1"/>
  <c r="U415" i="1" s="1"/>
  <c r="T226" i="1"/>
  <c r="U226" i="1" s="1"/>
  <c r="T129" i="1"/>
  <c r="U129" i="1" s="1"/>
  <c r="T124" i="1"/>
  <c r="U124" i="1" s="1"/>
  <c r="T234" i="1"/>
  <c r="U234" i="1" s="1"/>
  <c r="T152" i="1"/>
  <c r="U152" i="1" s="1"/>
  <c r="T160" i="1"/>
  <c r="U160" i="1" s="1"/>
  <c r="T176" i="1"/>
  <c r="U176" i="1" s="1"/>
  <c r="T467" i="1"/>
  <c r="U467" i="1" s="1"/>
  <c r="T346" i="1"/>
  <c r="U346" i="1" s="1"/>
  <c r="T394" i="1"/>
  <c r="U394" i="1" s="1"/>
  <c r="T170" i="1"/>
  <c r="U170" i="1" s="1"/>
  <c r="T112" i="1"/>
  <c r="U112" i="1" s="1"/>
  <c r="T444" i="1"/>
  <c r="U444" i="1" s="1"/>
  <c r="T66" i="1"/>
  <c r="U66" i="1" s="1"/>
  <c r="T284" i="1"/>
  <c r="U284" i="1" s="1"/>
  <c r="T97" i="1"/>
  <c r="U97" i="1" s="1"/>
  <c r="T214" i="1"/>
  <c r="U214" i="1" s="1"/>
  <c r="T460" i="1"/>
  <c r="U460" i="1" s="1"/>
  <c r="T237" i="1"/>
  <c r="U237" i="1" s="1"/>
  <c r="T331" i="1"/>
  <c r="U331" i="1" s="1"/>
  <c r="T313" i="1"/>
  <c r="U313" i="1" s="1"/>
  <c r="T514" i="1"/>
  <c r="U514" i="1" s="1"/>
  <c r="T89" i="1"/>
  <c r="U89" i="1" s="1"/>
  <c r="T58" i="1"/>
  <c r="U58" i="1" s="1"/>
  <c r="T388" i="1"/>
  <c r="U388" i="1" s="1"/>
  <c r="T224" i="1"/>
  <c r="U224" i="1" s="1"/>
  <c r="T407" i="1"/>
  <c r="U407" i="1" s="1"/>
  <c r="T647" i="1"/>
  <c r="U647" i="1" s="1"/>
  <c r="T518" i="1"/>
  <c r="U518" i="1" s="1"/>
  <c r="T413" i="1"/>
  <c r="U413" i="1" s="1"/>
  <c r="T634" i="1"/>
  <c r="U634" i="1" s="1"/>
  <c r="T265" i="1"/>
  <c r="U265" i="1" s="1"/>
  <c r="T30" i="1"/>
  <c r="U30" i="1" s="1"/>
  <c r="T86" i="1"/>
  <c r="U86" i="1" s="1"/>
  <c r="T62" i="1"/>
  <c r="U62" i="1" s="1"/>
  <c r="T206" i="1"/>
  <c r="U206" i="1" s="1"/>
  <c r="T552" i="1"/>
  <c r="U552" i="1" s="1"/>
  <c r="T427" i="1"/>
  <c r="U427" i="1" s="1"/>
  <c r="T83" i="1"/>
  <c r="U83" i="1" s="1"/>
  <c r="T243" i="1"/>
  <c r="U243" i="1" s="1"/>
  <c r="T108" i="1"/>
  <c r="U108" i="1" s="1"/>
  <c r="T523" i="1"/>
  <c r="U523" i="1" s="1"/>
  <c r="T431" i="1"/>
  <c r="U431" i="1" s="1"/>
  <c r="T168" i="1"/>
  <c r="U168" i="1" s="1"/>
  <c r="T115" i="1"/>
  <c r="U115" i="1" s="1"/>
  <c r="T14" i="1"/>
  <c r="U14" i="1" s="1"/>
  <c r="T371" i="1"/>
  <c r="U371" i="1" s="1"/>
  <c r="T193" i="1"/>
  <c r="U193" i="1" s="1"/>
  <c r="T130" i="1"/>
  <c r="U130" i="1" s="1"/>
  <c r="T40" i="1"/>
  <c r="U40" i="1" s="1"/>
  <c r="T604" i="1"/>
  <c r="U604" i="1" s="1"/>
  <c r="T18" i="1"/>
  <c r="U18" i="1" s="1"/>
  <c r="T406" i="1"/>
  <c r="U406" i="1" s="1"/>
  <c r="T90" i="1"/>
  <c r="U90" i="1" s="1"/>
  <c r="T301" i="1"/>
  <c r="U301" i="1" s="1"/>
  <c r="T151" i="1"/>
  <c r="U151" i="1" s="1"/>
  <c r="T588" i="1"/>
  <c r="U588" i="1" s="1"/>
  <c r="T289" i="1"/>
  <c r="U289" i="1" s="1"/>
  <c r="T253" i="1"/>
  <c r="U253" i="1" s="1"/>
  <c r="T374" i="1"/>
  <c r="U374" i="1" s="1"/>
  <c r="T71" i="1"/>
  <c r="U71" i="1" s="1"/>
  <c r="T286" i="1"/>
  <c r="U286" i="1" s="1"/>
  <c r="T20" i="1"/>
  <c r="U20" i="1" s="1"/>
  <c r="T125" i="1"/>
  <c r="U125" i="1" s="1"/>
  <c r="T15" i="1"/>
  <c r="U15" i="1" s="1"/>
  <c r="T223" i="1"/>
  <c r="U223" i="1" s="1"/>
  <c r="T629" i="1"/>
  <c r="U629" i="1" s="1"/>
  <c r="T517" i="1"/>
  <c r="U517" i="1" s="1"/>
  <c r="T429" i="1"/>
  <c r="U429" i="1" s="1"/>
  <c r="T498" i="1"/>
  <c r="U498" i="1" s="1"/>
  <c r="T2" i="1"/>
  <c r="U2" i="1" s="1"/>
  <c r="T202" i="1"/>
  <c r="U202" i="1" s="1"/>
  <c r="T254" i="1"/>
  <c r="U254" i="1" s="1"/>
  <c r="T461" i="1"/>
  <c r="U461" i="1" s="1"/>
  <c r="T390" i="1"/>
  <c r="U390" i="1" s="1"/>
  <c r="T154" i="1"/>
  <c r="U154" i="1" s="1"/>
  <c r="T499" i="1"/>
  <c r="U499" i="1" s="1"/>
  <c r="T393" i="1"/>
  <c r="U393" i="1" s="1"/>
  <c r="T105" i="1"/>
  <c r="U105" i="1" s="1"/>
  <c r="T353" i="1"/>
  <c r="U353" i="1" s="1"/>
  <c r="T559" i="1"/>
  <c r="U559" i="1" s="1"/>
  <c r="T153" i="1"/>
  <c r="U153" i="1" s="1"/>
  <c r="T380" i="1"/>
  <c r="U380" i="1" s="1"/>
  <c r="T456" i="1"/>
  <c r="U456" i="1" s="1"/>
  <c r="T335" i="1"/>
  <c r="U335" i="1" s="1"/>
  <c r="T530" i="1"/>
  <c r="U530" i="1" s="1"/>
  <c r="T244" i="1"/>
  <c r="U244" i="1" s="1"/>
  <c r="T225" i="1"/>
  <c r="U225" i="1" s="1"/>
  <c r="T19" i="1"/>
  <c r="U19" i="1" s="1"/>
  <c r="T622" i="1"/>
  <c r="U622" i="1" s="1"/>
  <c r="T149" i="1"/>
  <c r="U149" i="1" s="1"/>
  <c r="T262" i="1"/>
  <c r="U262" i="1" s="1"/>
  <c r="T48" i="1"/>
  <c r="U48" i="1" s="1"/>
  <c r="T132" i="1"/>
  <c r="U132" i="1" s="1"/>
  <c r="T161" i="1"/>
  <c r="U161" i="1" s="1"/>
  <c r="T341" i="1"/>
  <c r="U341" i="1" s="1"/>
  <c r="T92" i="1"/>
  <c r="U92" i="1" s="1"/>
  <c r="T323" i="1"/>
  <c r="U323" i="1" s="1"/>
  <c r="T482" i="1"/>
  <c r="U482" i="1" s="1"/>
  <c r="T512" i="1"/>
  <c r="U512" i="1" s="1"/>
  <c r="T231" i="1"/>
  <c r="U231" i="1" s="1"/>
  <c r="T338" i="1"/>
  <c r="U338" i="1" s="1"/>
  <c r="T187" i="1"/>
  <c r="U187" i="1" s="1"/>
  <c r="T472" i="1"/>
  <c r="U472" i="1" s="1"/>
  <c r="T133" i="1"/>
  <c r="U133" i="1" s="1"/>
  <c r="T351" i="1"/>
  <c r="U351" i="1" s="1"/>
  <c r="T497" i="1"/>
  <c r="U497" i="1" s="1"/>
  <c r="T640" i="1"/>
  <c r="U640" i="1" s="1"/>
  <c r="T557" i="1"/>
  <c r="U557" i="1" s="1"/>
  <c r="T379" i="1"/>
  <c r="U379" i="1" s="1"/>
  <c r="T24" i="1"/>
  <c r="U24" i="1" s="1"/>
  <c r="T106" i="1"/>
  <c r="U106" i="1" s="1"/>
  <c r="T556" i="1"/>
  <c r="U556" i="1" s="1"/>
  <c r="T610" i="1"/>
  <c r="U610" i="1" s="1"/>
  <c r="T438" i="1"/>
  <c r="U438" i="1" s="1"/>
  <c r="T303" i="1"/>
  <c r="U303" i="1" s="1"/>
  <c r="T513" i="1"/>
  <c r="U513" i="1" s="1"/>
  <c r="T215" i="1"/>
  <c r="U215" i="1" s="1"/>
  <c r="T192" i="1"/>
  <c r="U192" i="1" s="1"/>
  <c r="T522" i="1"/>
  <c r="U522" i="1" s="1"/>
  <c r="T439" i="1"/>
  <c r="U439" i="1" s="1"/>
  <c r="T73" i="1"/>
  <c r="U73" i="1" s="1"/>
  <c r="T363" i="1"/>
  <c r="U363" i="1" s="1"/>
  <c r="T567" i="1"/>
  <c r="U567" i="1" s="1"/>
  <c r="T158" i="1"/>
  <c r="U158" i="1" s="1"/>
  <c r="T592" i="1"/>
  <c r="U592" i="1" s="1"/>
  <c r="T480" i="1"/>
  <c r="U480" i="1" s="1"/>
  <c r="T110" i="1"/>
  <c r="U110" i="1" s="1"/>
  <c r="T239" i="1"/>
  <c r="U239" i="1" s="1"/>
  <c r="T213" i="1"/>
  <c r="U213" i="1" s="1"/>
  <c r="T131" i="1"/>
  <c r="U131" i="1" s="1"/>
  <c r="T25" i="1"/>
  <c r="U25" i="1" s="1"/>
  <c r="T579" i="1"/>
  <c r="U579" i="1" s="1"/>
  <c r="T652" i="1"/>
  <c r="U652" i="1" s="1"/>
  <c r="T505" i="1"/>
  <c r="U505" i="1" s="1"/>
  <c r="T157" i="1"/>
  <c r="U157" i="1" s="1"/>
  <c r="T426" i="1"/>
  <c r="U426" i="1" s="1"/>
  <c r="T428" i="1"/>
  <c r="U428" i="1" s="1"/>
  <c r="T617" i="1"/>
  <c r="U617" i="1" s="1"/>
  <c r="T156" i="1"/>
  <c r="U156" i="1" s="1"/>
  <c r="T446" i="1"/>
  <c r="U446" i="1" s="1"/>
  <c r="T465" i="1"/>
  <c r="U465" i="1" s="1"/>
  <c r="T443" i="1"/>
  <c r="U443" i="1" s="1"/>
  <c r="T302" i="1"/>
  <c r="U302" i="1" s="1"/>
  <c r="T283" i="1"/>
  <c r="U283" i="1" s="1"/>
  <c r="T314" i="1"/>
  <c r="U314" i="1" s="1"/>
  <c r="T260" i="1"/>
  <c r="U260" i="1" s="1"/>
  <c r="T470" i="1"/>
  <c r="U470" i="1" s="1"/>
  <c r="T515" i="1"/>
  <c r="U515" i="1" s="1"/>
  <c r="T661" i="1"/>
  <c r="U661" i="1" s="1"/>
  <c r="T349" i="1"/>
  <c r="U349" i="1" s="1"/>
  <c r="T478" i="1"/>
  <c r="U478" i="1" s="1"/>
  <c r="T242" i="1"/>
  <c r="U242" i="1" s="1"/>
  <c r="T32" i="1"/>
  <c r="U32" i="1" s="1"/>
  <c r="T328" i="1"/>
  <c r="U328" i="1" s="1"/>
  <c r="T178" i="1"/>
  <c r="U178" i="1" s="1"/>
  <c r="T292" i="1"/>
  <c r="U292" i="1" s="1"/>
  <c r="T593" i="1"/>
  <c r="U593" i="1" s="1"/>
  <c r="T445" i="1"/>
  <c r="U445" i="1" s="1"/>
  <c r="T503" i="1"/>
  <c r="U503" i="1" s="1"/>
  <c r="T421" i="1"/>
  <c r="U421" i="1" s="1"/>
  <c r="T663" i="1"/>
  <c r="U663" i="1" s="1"/>
  <c r="T267" i="1"/>
  <c r="U267" i="1" s="1"/>
  <c r="T459" i="1"/>
  <c r="U459" i="1" s="1"/>
  <c r="T64" i="1"/>
  <c r="U64" i="1" s="1"/>
  <c r="T4" i="1"/>
  <c r="U4" i="1" s="1"/>
  <c r="T61" i="1"/>
  <c r="U61" i="1" s="1"/>
  <c r="T576" i="1"/>
  <c r="U576" i="1" s="1"/>
  <c r="T269" i="1"/>
  <c r="U269" i="1" s="1"/>
  <c r="T528" i="1"/>
  <c r="U528" i="1" s="1"/>
  <c r="T361" i="1"/>
  <c r="U361" i="1" s="1"/>
  <c r="T401" i="1"/>
  <c r="U401" i="1" s="1"/>
  <c r="T399" i="1"/>
  <c r="U399" i="1" s="1"/>
  <c r="T104" i="1"/>
  <c r="U104" i="1" s="1"/>
  <c r="T642" i="1"/>
  <c r="U642" i="1" s="1"/>
  <c r="T571" i="1"/>
  <c r="U571" i="1" s="1"/>
  <c r="T13" i="1"/>
  <c r="U13" i="1" s="1"/>
  <c r="T550" i="1"/>
  <c r="U550" i="1" s="1"/>
  <c r="T606" i="1"/>
  <c r="U606" i="1" s="1"/>
  <c r="T70" i="1"/>
  <c r="U70" i="1" s="1"/>
  <c r="T646" i="1"/>
  <c r="U646" i="1" s="1"/>
  <c r="T310" i="1"/>
  <c r="U310" i="1" s="1"/>
  <c r="T657" i="1"/>
  <c r="U657" i="1" s="1"/>
  <c r="T190" i="1"/>
  <c r="U190" i="1" s="1"/>
  <c r="T618" i="1"/>
  <c r="U618" i="1" s="1"/>
  <c r="T324" i="1"/>
  <c r="U324" i="1" s="1"/>
  <c r="T509" i="1"/>
  <c r="U509" i="1" s="1"/>
  <c r="T583" i="1"/>
  <c r="U583" i="1" s="1"/>
  <c r="T625" i="1"/>
  <c r="U625" i="1" s="1"/>
  <c r="T615" i="1"/>
  <c r="U615" i="1" s="1"/>
  <c r="T59" i="1"/>
  <c r="U59" i="1" s="1"/>
  <c r="T277" i="1"/>
  <c r="U277" i="1" s="1"/>
  <c r="T494" i="1"/>
  <c r="U494" i="1" s="1"/>
  <c r="T495" i="1"/>
  <c r="U495" i="1" s="1"/>
  <c r="T623" i="1"/>
  <c r="U623" i="1" s="1"/>
  <c r="T74" i="1"/>
  <c r="U74" i="1" s="1"/>
  <c r="T473" i="1"/>
  <c r="U473" i="1" s="1"/>
  <c r="T639" i="1"/>
  <c r="U639" i="1" s="1"/>
  <c r="T377" i="1"/>
  <c r="U377" i="1" s="1"/>
  <c r="T103" i="1"/>
  <c r="U103" i="1" s="1"/>
  <c r="T227" i="1"/>
  <c r="U227" i="1" s="1"/>
  <c r="T392" i="1"/>
  <c r="U392" i="1" s="1"/>
  <c r="T230" i="1"/>
  <c r="U230" i="1" s="1"/>
  <c r="T416" i="1"/>
  <c r="U416" i="1" s="1"/>
  <c r="T457" i="1"/>
  <c r="U457" i="1" s="1"/>
  <c r="T382" i="1"/>
  <c r="U382" i="1" s="1"/>
  <c r="T281" i="1"/>
  <c r="U281" i="1" s="1"/>
  <c r="T633" i="1"/>
  <c r="U633" i="1" s="1"/>
  <c r="T526" i="1"/>
  <c r="U526" i="1" s="1"/>
  <c r="T487" i="1"/>
  <c r="U487" i="1" s="1"/>
  <c r="T411" i="1"/>
  <c r="U411" i="1" s="1"/>
  <c r="T636" i="1"/>
  <c r="U636" i="1" s="1"/>
  <c r="T194" i="1"/>
  <c r="U194" i="1" s="1"/>
  <c r="T212" i="1"/>
  <c r="U212" i="1" s="1"/>
  <c r="T367" i="1"/>
  <c r="U367" i="1" s="1"/>
  <c r="T662" i="1"/>
  <c r="U662" i="1" s="1"/>
  <c r="T452" i="1"/>
  <c r="U452" i="1" s="1"/>
  <c r="T28" i="1"/>
  <c r="U28" i="1" s="1"/>
  <c r="T208" i="1"/>
  <c r="U208" i="1" s="1"/>
  <c r="T442" i="1"/>
  <c r="U442" i="1" s="1"/>
  <c r="T250" i="1"/>
  <c r="U250" i="1" s="1"/>
  <c r="T596" i="1"/>
  <c r="U596" i="1" s="1"/>
  <c r="T241" i="1"/>
  <c r="U241" i="1" s="1"/>
  <c r="T347" i="1"/>
  <c r="U347" i="1" s="1"/>
  <c r="T404" i="1"/>
  <c r="U404" i="1" s="1"/>
  <c r="T464" i="1"/>
  <c r="U464" i="1" s="1"/>
  <c r="T318" i="1"/>
  <c r="U318" i="1" s="1"/>
  <c r="T82" i="1"/>
  <c r="U82" i="1" s="1"/>
  <c r="T666" i="1"/>
  <c r="U666" i="1" s="1"/>
  <c r="T31" i="1"/>
  <c r="U31" i="1" s="1"/>
  <c r="T580" i="1"/>
  <c r="U580" i="1" s="1"/>
  <c r="T305" i="1"/>
  <c r="U305" i="1" s="1"/>
  <c r="T166" i="1"/>
  <c r="U166" i="1" s="1"/>
  <c r="T441" i="1"/>
  <c r="U441" i="1" s="1"/>
  <c r="T317" i="1"/>
  <c r="U317" i="1" s="1"/>
  <c r="T553" i="1"/>
  <c r="U553" i="1" s="1"/>
  <c r="T41" i="1"/>
  <c r="U41" i="1" s="1"/>
  <c r="T246" i="1"/>
  <c r="U246" i="1" s="1"/>
  <c r="T345" i="1"/>
  <c r="U345" i="1" s="1"/>
  <c r="T501" i="1"/>
  <c r="U501" i="1" s="1"/>
  <c r="T375" i="1"/>
  <c r="U375" i="1" s="1"/>
  <c r="T116" i="1"/>
  <c r="U116" i="1" s="1"/>
  <c r="T558" i="1"/>
  <c r="U558" i="1" s="1"/>
  <c r="T321" i="1"/>
  <c r="U321" i="1" s="1"/>
  <c r="T675" i="1"/>
  <c r="U675" i="1" s="1"/>
  <c r="T45" i="1"/>
  <c r="U45" i="1" s="1"/>
  <c r="T408" i="1"/>
  <c r="U408" i="1" s="1"/>
  <c r="T575" i="1"/>
  <c r="U575" i="1" s="1"/>
  <c r="T358" i="1"/>
  <c r="U358" i="1" s="1"/>
  <c r="T466" i="1"/>
  <c r="U466" i="1" s="1"/>
  <c r="T271" i="1"/>
  <c r="U271" i="1" s="1"/>
  <c r="T183" i="1"/>
  <c r="U183" i="1" s="1"/>
  <c r="T483" i="1"/>
  <c r="U483" i="1" s="1"/>
  <c r="T76" i="1"/>
  <c r="U76" i="1" s="1"/>
  <c r="T77" i="1"/>
  <c r="U77" i="1" s="1"/>
  <c r="T35" i="1"/>
  <c r="U35" i="1" s="1"/>
  <c r="T81" i="1"/>
  <c r="U81" i="1" s="1"/>
  <c r="T181" i="1"/>
  <c r="U181" i="1" s="1"/>
  <c r="T294" i="1"/>
  <c r="U294" i="1" s="1"/>
  <c r="T587" i="1"/>
  <c r="U587" i="1" s="1"/>
  <c r="T611" i="1"/>
  <c r="U611" i="1" s="1"/>
  <c r="T136" i="1"/>
  <c r="U136" i="1" s="1"/>
  <c r="T520" i="1"/>
  <c r="U520" i="1" s="1"/>
  <c r="T96" i="1"/>
  <c r="U96" i="1" s="1"/>
  <c r="T138" i="1"/>
  <c r="U138" i="1" s="1"/>
  <c r="T405" i="1"/>
  <c r="U405" i="1" s="1"/>
  <c r="T449" i="1"/>
  <c r="U449" i="1" s="1"/>
  <c r="T320" i="1"/>
  <c r="U320" i="1" s="1"/>
  <c r="T3" i="1"/>
  <c r="U3" i="1" s="1"/>
  <c r="T222" i="1"/>
  <c r="U222" i="1" s="1"/>
  <c r="T525" i="1"/>
  <c r="U525" i="1" s="1"/>
  <c r="T266" i="1"/>
  <c r="U266" i="1" s="1"/>
  <c r="T544" i="1"/>
  <c r="U544" i="1" s="1"/>
  <c r="T621" i="1"/>
  <c r="U621" i="1" s="1"/>
  <c r="T47" i="1"/>
  <c r="U47" i="1" s="1"/>
  <c r="T458" i="1"/>
  <c r="U458" i="1" s="1"/>
  <c r="T207" i="1"/>
  <c r="U207" i="1" s="1"/>
  <c r="T521" i="1"/>
  <c r="U521" i="1" s="1"/>
  <c r="T146" i="1"/>
  <c r="U146" i="1" s="1"/>
  <c r="T204" i="1"/>
  <c r="U204" i="1" s="1"/>
  <c r="T27" i="1"/>
  <c r="U27" i="1" s="1"/>
  <c r="T676" i="1"/>
  <c r="U676" i="1" s="1"/>
  <c r="T23" i="1"/>
  <c r="U23" i="1" s="1"/>
  <c r="T270" i="1"/>
  <c r="U270" i="1" s="1"/>
  <c r="T180" i="1"/>
  <c r="U180" i="1" s="1"/>
  <c r="T433" i="1"/>
  <c r="U433" i="1" s="1"/>
  <c r="T369" i="1"/>
  <c r="U369" i="1" s="1"/>
  <c r="T599" i="1"/>
  <c r="U599" i="1" s="1"/>
  <c r="T177" i="1"/>
  <c r="U177" i="1" s="1"/>
  <c r="T255" i="1"/>
  <c r="U255" i="1" s="1"/>
  <c r="T609" i="1"/>
  <c r="U609" i="1" s="1"/>
  <c r="T56" i="1"/>
  <c r="U56" i="1" s="1"/>
  <c r="T365" i="1"/>
  <c r="U365" i="1" s="1"/>
  <c r="T279" i="1"/>
  <c r="U279" i="1" s="1"/>
  <c r="T327" i="1"/>
  <c r="U327" i="1" s="1"/>
  <c r="T630" i="1"/>
  <c r="U630" i="1" s="1"/>
  <c r="T50" i="1"/>
  <c r="U50" i="1" s="1"/>
  <c r="T10" i="1"/>
  <c r="U10" i="1" s="1"/>
  <c r="T451" i="1"/>
  <c r="U451" i="1" s="1"/>
  <c r="T536" i="1"/>
  <c r="U536" i="1" s="1"/>
</calcChain>
</file>

<file path=xl/sharedStrings.xml><?xml version="1.0" encoding="utf-8"?>
<sst xmlns="http://schemas.openxmlformats.org/spreadsheetml/2006/main" count="5050" uniqueCount="3546">
  <si>
    <t>patient OGI code</t>
  </si>
  <si>
    <t>variant transcript</t>
  </si>
  <si>
    <t>Transient transfection reads REF1</t>
  </si>
  <si>
    <t>Transient transfection reads REF2</t>
  </si>
  <si>
    <t>Transient transfection reads REF3</t>
  </si>
  <si>
    <t>Average REF</t>
  </si>
  <si>
    <t>Transient transfection reads ALT1</t>
  </si>
  <si>
    <t>Transient transfection reads ALT2</t>
  </si>
  <si>
    <t>Transient transfection reads ALT3</t>
  </si>
  <si>
    <t>Average ALT</t>
  </si>
  <si>
    <t>SpliceAI_pred_DP_AG</t>
  </si>
  <si>
    <t>SpliceAI_pred_DP_AL</t>
  </si>
  <si>
    <t>SpliceAI_pred_DP_DG</t>
  </si>
  <si>
    <t>SpliceAI_pred_DP_DL</t>
  </si>
  <si>
    <t>SpliceAI_pred_DS_AG</t>
  </si>
  <si>
    <t>SpliceAI_pred_DS_AL</t>
  </si>
  <si>
    <t>SpliceAI_pred_DS_DL</t>
  </si>
  <si>
    <t>OGI2071_003497</t>
  </si>
  <si>
    <t>VPS13B:c.5296-10934T&gt;C</t>
  </si>
  <si>
    <t>ATAAGTAAATATTGAAAGTGTTCTGAGAGTAATCTGGCAGTGCTATATGGGATATATTAGGAATGGGAGAGACCTGTGAAAGAAATTAACTAAGGAACTCTTGCAAGTGGCCTTTAGACAGTGGAAAGGGTCAGCGAGAAAGTAAAAAGGAAACAGCAAGAGTAATTAGTGAAATGAAGGAATGACCAATAGTATTTGATGGGGGCCACAAAAGTTTATTTAATAGTTGAGCTTTTGAGAAGAAAAAAATGTAAAATGGATAGGTGATGT</t>
  </si>
  <si>
    <t>ENST00000358544.6:c.5296-10934T&gt;C</t>
  </si>
  <si>
    <t>-</t>
  </si>
  <si>
    <t>OGI1254_002423</t>
  </si>
  <si>
    <t>NMNAT1_c.299+1142T&gt;C</t>
  </si>
  <si>
    <t>GCCCCGCTAATGTTTTTGTATTTTTAGTAGAGATGGGGTTCTACCTTGTTGGCCAGGCTGGTCTTGAACTTCTGACCTCAGGTGATCCACCTGTCTCAGCCTCCCAACACCTAATTATTTCTTTTCTTTTCTTTTcTTTTTTGAGATAGAGGTTCACTCTTGTTGCCCAAGCTGGAGTGCAATGGCATGATCTTGGCTCACTGCAACCTCTGCCTCCCGGGTTCAAGCCGTTCCCCTGCCTCAGCCTCCCAAGTAGCTGGGATTACAGGC</t>
  </si>
  <si>
    <t>PDE6D_c.51-16350A&gt;G</t>
  </si>
  <si>
    <t>GCTGGGATTACAGGCATGAGCCACCGTGCCCAGCCAACTTTTTTTTTAGAGATCTTGTGTGGTAGGAAAATAAATATTGGGCATCATGCCTGGCTAACTTTTGTATTTTCATAGAGACAGGGTTTCACCATGTTGgCCAGGCTGATCTTGAACTCCTGACCTCAAGTGATCCCGCCCACCTCTGCCTCCCAAAGTGCTGGGATTACAGGCTCGGCGTGAATCACTTTCATAAGCAATCAGCTTCCCCAGAATTGGGAGCCTATGACTGAA</t>
  </si>
  <si>
    <t>OGI1887_003264</t>
  </si>
  <si>
    <t>EYS:c.6424+11003C&gt;G</t>
  </si>
  <si>
    <t>TGGCGATCATTCAAAAGTCAGGAAACAACAGGTGCTGGAGAGGATATGGAGAAATAGGAACACTTTTACACTGTTGGTGGGACTGTAAACTAGTTCAACCATTGTGGAAGTCAGTGTGGCGATTCCTCAGGGATGTAGAACTAGAAATACCATTTGACCCAGCTATCCCTTTACTGGGTATATACCCAAAGGATTATAAATCATGCTGCTATAAAAATTCTTTCTTAACAAACAAAAACAAAAATAATGTCATCTATATTGAGATAGTAA</t>
  </si>
  <si>
    <t>ENST00000370621.7:c.6424+11003C&gt;G</t>
  </si>
  <si>
    <t>VPS13B:c.7126-17164T&gt;C</t>
  </si>
  <si>
    <t>GAGTGAGAGCATGCAGAGTTTGTTTTTCTGTGCCTGGCTTATTTCATTTAACGTAATGTCCTCCGGTTCCATCTATGTTGTGGTAAATGACAGGATTTCATTCTTTTTTATGGCTGAGTAGTACTCCATTGTGTGCATGTACCACATTTTCTTTATCTGTTCATCTGTTGATGGACACTTGGGTTGCTTCCAAATCTTGGCTATTGTAAATAGTGCTGCAATAAACATTAGAGTACAGATATCTTTTAAATATATGATTTCCTTTCTTTT</t>
  </si>
  <si>
    <t>ENST00000358544.6:c.7126-17164T&gt;C</t>
  </si>
  <si>
    <t>OGI2406_003965</t>
  </si>
  <si>
    <t>EYS:c.2993-1919del</t>
  </si>
  <si>
    <t>CACAATTTTAATTAATGAATAAAACATTAGGAAAAAAAGATCCTAAGATAATCTTGATGATGCTGTCTCTAGCTAAACTGAGACATGTTTGCCTTTTATGGAGAGAACATTTCAAAAACAGAGTGAAGTGTCTTTGTCAAATCTCCTCATCTCCCAACATTGCTGGATGCATCCTGTCCCAAACTCTTTTAACACTTTCTGTCCCTGCCCCCACACTTTTGTTATAAATTGACCATCTATCTTTTTTTAACTGAAAATTTCAGCACTGAC</t>
  </si>
  <si>
    <t>ENST00000370621.7:c.2993-1919del</t>
  </si>
  <si>
    <t>OGI2599_004170</t>
  </si>
  <si>
    <t>USH2A:c.4885+479A&gt;C</t>
  </si>
  <si>
    <t>GATGAGGAAACCAAGGCTGAGAAAAAAGTAAATATTTTTTCCTAACTTACACAGTTGAGAGGAAGCATTCTTGGGACACACATCCTGTTTTTTCACATTTAAGTTTAGTTTTTGCTCCAGCCTACCCTATCTGCCCCATTTATGTAATTATAACATGATCACTGTACCTGTATAATGATGCAGGCTTTTATTAAATTATTCAGGAAATATCTAATTTTAATCAGTACCTATTATGTTCCAGGTATTGTTCTAGGTGCTCTGGATACAAGG</t>
  </si>
  <si>
    <t>ENST00000307340.7:c.4885+479A&gt;C</t>
  </si>
  <si>
    <t>OGI2730_004309</t>
  </si>
  <si>
    <t>USH2A:c.10940-6309A&gt;T</t>
  </si>
  <si>
    <t>CCATCTTGAACATGTACAGTCCTTAGTTCCTGCCCACATTCACCCATGCAAGCACCCAGCTTGTTTACCTATGTCTGCAGCTCGATTTTACATGCTTGCCCTTTGTTAGAAAATTATTTGGGGCTTTTTACTAAATAGAAAAGGCTTACCGAGGACTCCCATACCTTTACTATCTGCCTAAGTGATTTCTTCTTAACTCCTGTATCATTAGCAAGGACTGAATGTGAGCAGCCGAGGGGCCAGACCACACATCCAGTTTGGGTGAACTGG</t>
  </si>
  <si>
    <t>ENST00000307340.7:c.10940-6309A&gt;T</t>
  </si>
  <si>
    <t>OGI3487_005094</t>
  </si>
  <si>
    <t>EYS:c.2382-6627T&gt;C</t>
  </si>
  <si>
    <t>TTTTTCTATTAATATTAAAACAGAAATTCTTGAGTTCATTTAGAATACATACTCCATAAACTTCAGCCTCACAAAAAAAAAAAAAAGAAAAAAAGAAAAACATAAAAAAGGAAGGTTTGCCCAGCCTGACCAACACGGTGAAACCCTGTTTCTACTAAAAATACAAAAAATAGCCGGGTGCGATGGCAGGGCTGTAATCCCAGCTACTTGAGAGGCTGAGGCAGGAGAATCGCTTGAACCCGGGCAGCAGAAGTTGCAGTGAGCCGAGAA</t>
  </si>
  <si>
    <t>ENST00000370621.7:c.2382-6627T&gt;C</t>
  </si>
  <si>
    <t>OGI2115_003549</t>
  </si>
  <si>
    <t>USH2A:c.5573-1049A&gt;G</t>
  </si>
  <si>
    <t>CATTGTTACTATTAACTTATTTTACTGTTATGCATTTCATTATATTTTATTTCCATTTCCTGCTGCTGTGCTTTAATCTTGAAAAGAGCTGATCATGTGTTTGAGGCCTTTCAAACTTTACAGTGTTTTGTTCGGgGAGAGAGAGAGAGAGAGAGAGAGAACATGCACGCTACAGCAATCTCAAACTCGGTCCTGTTTGTCCCAATTTCGTGCAGTTTTCTGCGCAGAGTACTGCCAGACTTCACTGAGCTGATCTCTGTTTTCACAAAA</t>
  </si>
  <si>
    <t>ENST00000307340.7:c.5573-1049A&gt;G</t>
  </si>
  <si>
    <t>OGI1470_002665</t>
  </si>
  <si>
    <t>EYS:c.6079-12630_6079-12627dup</t>
  </si>
  <si>
    <t>AACAGCAGCAGCAGCAGGGAAGAAAGGTCTTGTGGCAGCTTAACTGGAATATTCTCTGTAATTTAAGGGGAAATGTCTGTCTTCCTGTCTGTCTGTCTATCTATCTGTCTATCCATCCATCCATCCGTCCGTCCATCCATCCATCCATCCATCTGAGATTGCCTGTATTTACACACAGACACACACACATACACACACACATGCACACACATATCTTCAGAAATTTTTCTCTCATAAAAGGTTTAGCCTAATTTAATATATAGTTTTTCA</t>
  </si>
  <si>
    <t>ENST00000370621.7:c.6079-12630_6079-12627dup</t>
  </si>
  <si>
    <t>VPS13B:c.3446-11797T&gt;G</t>
  </si>
  <si>
    <t>ACACACTTAAACAGCCAGCTCTTACTGAAGTATAATTTATATAATGTAACATTAAATTTATTAAGATGTATAACCATCATCATAATAAAGTTTTAGAACATTTCCATTATCCCAAAAGTTTTCTTGTGTCCATTGGTAGTTGATCCCTGCTCCTACCTACAGCCCTAGGCAACCCTGATCTGCTTTCTGTCCCTATAAATTTGCCTTTTCTGGACATTTTAATACACTGGAATCATACAATATATAGTCTTTTGCATCTGGCTTCTTTCA</t>
  </si>
  <si>
    <t>ENST00000358544.6:c.3446-11797T&gt;G</t>
  </si>
  <si>
    <t>COL11A1:c.107-2360C&gt;T</t>
  </si>
  <si>
    <t>TTTCACTGGGCACTCTGGTTTCCTTCCACATCCCCAAAATGTGTACAGAGAATTGCTGTCTCTAAATGGTCCCAGTCTGGTTGAGTGGGTATATGTGCCCTACCATGAGATGGTGTCCTGTCCAGGACTGGTTCCtGCCCTGCGTCCTGAATGTTTGGGTTGGGCTCCAGCCATTTGGGGCCCTGAACTGGGATAAGCAGGTTGGAAATGAATGAACAAATGAATGAATGAATACAAATTGTTATCAAATAAAAATCTGTAAACTCTACC</t>
  </si>
  <si>
    <t>ENST00000370096.9:c.107-2360C&gt;T</t>
  </si>
  <si>
    <t>WFS1_c.316-158G&gt;T</t>
  </si>
  <si>
    <t>ENST00000226760.5:c.316-158G&gt;T</t>
  </si>
  <si>
    <t>OGI1321_002471</t>
  </si>
  <si>
    <t>ABCA4:c.2160+998T&gt;C</t>
  </si>
  <si>
    <t>TTCCCCATCATGATAGGAAGTGCTGTACCACACTAGGCAGTGTGTGTAGTGACCACAGACTGGCTGAGTGTCTCCCATCCCATGCTGGCCCATATCTGGTACCCACCTGATCCACAAATGTTCCATCAGATCCTGCTCAAACAACACATCTCCAGTTAAGCCAAATCTTGCCCTTTCTCCTTACGGTAAAATGTACTAAATCTGAAGGTTTTGTCTTTTTAATGTTGCTCCATGATCCAGTGATCTGTGGCCTTGGTTATGCTCTGTGCT</t>
  </si>
  <si>
    <t>ENST00000370225.3:c.2160+998T&gt;C</t>
  </si>
  <si>
    <t>OGI1387_002578</t>
  </si>
  <si>
    <t>ABCA4:c.768+7329A&gt;G</t>
  </si>
  <si>
    <t>GTGTGTGTGTGTGTGTGTGTGAGATGATGTTTGCCATTTTGATCTGTGACTTTTTTTTCCAGAAATAGTTTCTCAGTTCCATTCCAACTAAACTTACAGTCTCTTCCGGTTCTTTGACAGAAACAATTCATGTGAGTTTGAACAGATAATAGGGAAGGGGGAACCAAAAGAAGAGGAGAGCCCTGGGAAAGTTATTTTATAATTTATGGCAACCTCAGTCAGGCAACTGTGAACAGGTACATATGGAGGGCTCCCTCGGGACTAGGCAGT</t>
  </si>
  <si>
    <t>ENST00000370225.3:c.768+7329A&gt;G</t>
  </si>
  <si>
    <t>EYS:c.2641+4566T&gt;C</t>
  </si>
  <si>
    <t>CTTTCTCATTTCTGTTGACAACTTTTAGTTATGTTTCGCATGATTTATAAGAGAGTCTCCAGCATATGAAGCCTCAGTTGCCCACAATTATGTGCTCATTAAACCACTCTCTTCCCTGCTTTATTTTCCACTCCCCTGCAATAATTCCTGGGATCTGGGATCACCTCTCAAATAAACTACTTGTGAGAAAATCATTATCTCAGACTTTTTTTTTTATTTTATTTTTGGAACAACCCAAGCTAAGACACATAGTAAATTCCATCCCCATGG</t>
  </si>
  <si>
    <t>ENST00000370621.7:c.2641+4566T&gt;C</t>
  </si>
  <si>
    <t>OGI1398_002593</t>
  </si>
  <si>
    <t>ADGRV1:c.4379-97T&gt;C</t>
  </si>
  <si>
    <t>GAAGATAGTTACCAATTCTTTTAGTACAAAATATAAATCCTAATGATTATGGATTCCTTTTTTAAAATCATAATAGAAGATAATATCCAATTCATTGTATACTAGTTATGCAAAAGTTTCATTTATCCAAAAATAcCTTTCAGTAAAATTGTCTTACTTTCTGAATCACACGTAAAATTTAGGACAGGACACTTGAAGGTATTGTAGCATTTAAACTTGTCTCTAATTTCAGGTCCTGGGATACTGAGAATTGGAGCAGGGATAAATGGC</t>
  </si>
  <si>
    <t>ENST00000405460.8:c.4379-97T&gt;C</t>
  </si>
  <si>
    <t>OGI1584_002810</t>
  </si>
  <si>
    <t>USH2A:c.4628-32592A&gt;G</t>
  </si>
  <si>
    <t>CACACTTTTGTCAAAACTGCATTGGCTGTAAATATGCAGATTTATTTCTGGGTTCTTTATTCTGTTCTTTTGGTCTATGTGTCTGTTTTTATGCCAGTACCATGTTGTTTTGGTTACTATAGCTGTGTAGTATAGTTTGAAGTCAGGTAATGTGATGCTTCCAGCTTTGTTATTTTTTGCTCAGGATGTCTTGGACTGTTCTAGGTCTTTCGTGGTTCCATATACATTTTAGGATTTTTTTTCGATTTTTATAAAGAACTTCATTAGTAT</t>
  </si>
  <si>
    <t>ENST00000307340.7:c.4628-32592A&gt;G</t>
  </si>
  <si>
    <t>EYS:c.6424+47354A&gt;G</t>
  </si>
  <si>
    <t>GCTGATAGAGAAGGGCACACACATGAGTAGGGCACTAATCTAGCTGGAGGATCAGATCTGTATTAGTCCATTCTCATGCTGCTAATAAAGACATACTTGAGACTGGGTAATTTATAAAGGAAAGAGGTTCAATTGACTCACAGTTCCGCATGTGTGGGGAGGCCTCAGGAAACTTACAATCATAGTGGAAGGGGAAGCAAACATGTCCTTCTTCACATCGTGGCAGGAGGGAGAAGAATGAATGCCCAGAGAAGAGGGAAGCCCCTTATA</t>
  </si>
  <si>
    <t>ENST00000370621.7:c.6424+47354A&gt;G</t>
  </si>
  <si>
    <t>PEX14_c.677+57G&gt;C</t>
  </si>
  <si>
    <t>CCAACTGGATCCTGGAGTCCCAGAATATCAACGAACTCAAGTCCGAAATTAACTCCTTGAAAGGGCTTCTTTTAAATCGGTAGGAGGGAGGAATGGGGACCCTGTTCTGGTCGGGCCTGGAAAGGAGGACTGGGAcCTCTGGGGCATGGGAGGGGCATGACGCCCACCCCCACCCCCAAGGACCCCATCTGTCTGGGCGACTCAGGCACTGAGTCTGGGGCCTTTTGAGCTTCTCTCTTCATTCCCCAGTTGACACCCTCTCCACTCCAG</t>
  </si>
  <si>
    <t>OGI1642_002872</t>
  </si>
  <si>
    <t>ADGRV1:c.18153-32774A&gt;C</t>
  </si>
  <si>
    <t>GGTTCTAATCTGTTCTCCACAAGAAGAGGGGATTTTATCCCAGAACATGGGGAAATAAAGATGGATGGGCATGCAAACAAACAAATAATAAATGTCCACTTCCGATAAGTAAATTGGGAAAGAGCTGAAACATCCCAGAATGATTTCAGTACAGGCCAGTGTAGAATTGCAGACGTGGAAGGTTAAAACAAGGTACATTGATATAAGATGAAGGAAAGATAATGATGCAGTAATATACATTAAAAGATGGAAGGACTGTAGTATGTTGCC</t>
  </si>
  <si>
    <t>ENST00000405460.8:c.18153-32774A&gt;C</t>
  </si>
  <si>
    <t>USH2A:c.8682-654C&gt;G</t>
  </si>
  <si>
    <t>ACAGGTAGTTCTGAACCAAGCAAAGGAAGCCTGATGGTCTTCTGCCCAAAACTGGTTAAAAAAAAATGGTGGCTTTACTCTATAGTCAATTTAATAAATGACTTGGAAAGTCCTCCTCATATCACATCAGCATGTGAGTTTTTGCCTTCTGCAAAGTAATATTCGGTTTCCACTGTATTGACTCAAGTAAATATGTTCACACTATGGCAAAATACAGCTCACTGTAGCAAAACTCTCAGCGGGAGAATGTTGTACACTTTGGTCACAGTT</t>
  </si>
  <si>
    <t>ENST00000307340.7:c.8682-654C&gt;G</t>
  </si>
  <si>
    <t>OGI3555_005155</t>
  </si>
  <si>
    <t>USH2A:c.6326-4220T&gt;C</t>
  </si>
  <si>
    <t>CCTACCAGTATTGGCACCCACATAGTCTGCATCCCCTCCCATTACTATAGATTGTCTCTGTTCCAAGTTCAACTCTTTCACTTTTGAACTAGATTCTCCTCTTTCACATATTCAAGGACAAAACTCCAGCAATTCTTTTCTCTTTCATCCACTTCATAGTTTTCCCTTCACTAGTGGGTCATCCCATCACATACAACAAATTTTTCTCTCATTTAAATTACTTTAAAAATCTTCTCTTGATTCTACTTACCTTTTATCTATTGCTACATT</t>
  </si>
  <si>
    <t>ENST00000307340.7:c.6326-4220T&gt;C</t>
  </si>
  <si>
    <t>VPS13B:c.5295+14474A&gt;G</t>
  </si>
  <si>
    <t>ATTTTCAGGTACACCAATCAAACATAGATTTGGTCTTTTCACGTAGTCCCATATTTCTTGGAGGCTTTTTTCTTTTCTTTTCTCTTTTTTCTCTATCTTCAATCACTGATACCTTTTCTTCCACTTGATTGAATCGGCTACTGAAGCTTGTGCATGTGTCACGTAGCTCTCATGCCATGGTTTTCAGCTCCATCAGGTCATTTAAGGTCTTCTCTACACTGTTTATTCTAGTTAGCCATTCATCTAATCTTTTTTCAAGGTTTTTAGCTT</t>
  </si>
  <si>
    <t>ENST00000358544.6:c.5295+14474A&gt;G</t>
  </si>
  <si>
    <t>VPS13B:c.7125+22568C&gt;A</t>
  </si>
  <si>
    <t>TTCATATGGAACCAAAAAAGAGCCCGCATCGCCAAGTCAATCCTAAGCCAAAACAACAAAGCTGGAGGTATCACGCTACCTGACTTCAAACTATACTACAAGGCTACAGTAACCAAAACAGCATGGTACTGGTTCAAAAATAGAGATACAGACCAATGGAACAGAACAGAACCCTCAGAAATAATGCAGCAGCGTACCTACAACCATCTGATCTTTGACAAACCTGACAAAAACAAGCAATGGGGAAAGGATTCCCTATTTAATAAATGG</t>
  </si>
  <si>
    <t>ENST00000358544.6:c.7125+22568C&gt;A</t>
  </si>
  <si>
    <t>OGI3682_0052101</t>
  </si>
  <si>
    <t>USH2A:c.4759-1291C&gt;A</t>
  </si>
  <si>
    <t>ACGAAGACTAGAACTTGCCAGATGGTCATGTTTCTAGCTGATGGAGTTGTCTGTAAAAGTTGGGATATTGTCCATGTGAGAGACAACCCACTCATACTCATGGGAAATTAAAAGCTTTTTTTTTTTTTTTTTTTAATTTGGTAACATGAAATTCTGTATGTCATACATGTTGTCGAGCTCTTTATGAGGCCCGACAGGAACCAATTAAATGTGTAGAGTGGACATGTTGTATCACTGAAGCCATTTCAGAGAAAGATAAACAGAAATCAT</t>
  </si>
  <si>
    <t>ENST00000307340.7:c.4759-1291C&gt;A</t>
  </si>
  <si>
    <t>OGI2982_004568</t>
  </si>
  <si>
    <t>USH2A:c.5299-1625C&gt;T</t>
  </si>
  <si>
    <t>TTATGTTTGACTTCCTCAAAAAGAGTTTCATCTGGATGTTTTATAGGCATTTCAAACTCAATATATTTAAAATGAACTCACCCCTCCTCCTTGTCAACAACAACAGTCAGCATTTCTTTCAAATGCTTTTCATAATGTGATGATGGCAGAACACCCTCCTAGTTACCCAAAAAAGATGAGATGTGTTCTTAATTTCTTTTTAATTCATCTAACTCATTTACCTTTTTTACCAGGTCCTAATGAGTTGCTTTTACAAATACTTCTAAGATT</t>
  </si>
  <si>
    <t>ENST00000307340.7:c.5299-1625C&gt;T</t>
  </si>
  <si>
    <t>VPS13B:c.148-17A&gt;G</t>
  </si>
  <si>
    <t>TGTATATTAGAATGAAAAATATTAAGCACTAAACAATAAGTCTCTGAATATTCTTGTGTTGGAAATTTTATTTTTTAAAAAAGAAATTTGCATATTATAATAAAAAATATTAAGCACTTACTAATTTTTATGTAGTGTTTTGTGTTTTAAGGAACTGAAATTACCATTCACTTTTTTAAGTGGACATATTCATGAATTGAGGATTCATGTACCATGGACAAAACTGGGTTCAGAACCAGTGGTAATTACCATCAATACTATGGAATGCAT</t>
  </si>
  <si>
    <t>ENST00000358544.6:c.148-17A&gt;G</t>
  </si>
  <si>
    <t>OGI3596_0052013</t>
  </si>
  <si>
    <t>ABCA4:c.6006-81G&gt;A</t>
  </si>
  <si>
    <t>CTAGACATGGAAACATGGAAGAATCTGACAGGATTCAGTTTCTAACCGAAGGGCCCCTGTTTTGATTCCCAAATATCCCATGCATTTCTGAAGCCAAATAGGAGAAGAGAAGAAGCAGCTTCCTTTTCCCGTTGACAGAAGCTTCTCCAGCCCTAGCTCTATGGTCATCCCTCCACTCCTTGAAGGATACTCAGTAATTGCTTTTTTTCTTGCAGTATTTTAACCAATATTTCTGAAGTCCATCAAAATATGGGCTACTGTCCTCAGTTT</t>
  </si>
  <si>
    <t>ENST00000370225.3:c.6006-81G&gt;A</t>
  </si>
  <si>
    <t>ABCA4:c.443-447_443-446insCCTC/c.443-447A&gt;C</t>
  </si>
  <si>
    <t>CCCAGAGGGGTCCTCTACCCTGTGACAGCTGCGGTGTGGGAAGAGCACGTGTCTCCTCCAATCCTAGACCAGAGTTTCTCAGCCTCAGCATCACTGACACTTGGGGCTAGATAATCCTTTGTGTGGGGGACCCTCGGGAGGAGTGTCTTGGGCCTTGCAGGATGTTTAGCAGCATCTCTGGCCTCTACCCACCAGCACCTCCCCAGTTGTGACACCCAGAAATGTCTTTAGATCTTGCCAAATATTTCCAGGAGGATGAAATTCCCCTGT</t>
  </si>
  <si>
    <t>ENST00000370225.3:c.443-447_443-446insCCTC/c.443-447A&gt;C</t>
  </si>
  <si>
    <t>OGI1341_002514</t>
  </si>
  <si>
    <t>ADGRV1:c.18153-9469A&gt;T</t>
  </si>
  <si>
    <t>TGGAGTTCCATAGCCCCTTGGCTCCCTACCAAAGAGATGTAAAGATTAACTAGTTAATTAGGTTAAGCTACTTTATGTCTAAAGAGTGTGCTAGAAGAGTGTTTCTCAAACTTTTTTTTTTTTTTTTTTTTTTTGtGGCAGAGTTTCACTCTGTTACCCAGGCTGGAGTGCAGTGGCACGATCTTGGCTCACTGCAACCTCCACCTCCTGGGCTCAAGCGATCCTCCCACTTCACCCTCCGAGAAACTGGGAACACAGGCATGGTGCCAC</t>
  </si>
  <si>
    <t>ENST00000405460.8:c.18153-9469A&gt;T</t>
  </si>
  <si>
    <t>EYS:c.-332-64361T&gt;G</t>
  </si>
  <si>
    <t>AAAATAATGGACACCAAGAACAGTCTAACACCTTTATTTGTGTCCTGCAATATATACAAGTTTTGAATATTGTTATTATATAATTATGTTATATATTATATACAATATATAATAATGTATTATTTTATGTTATAGTATATACAATATATAACATATTATATGTTATATTAATAATATATTATATATTATTATATGTTATATTAATAATATGTTATATGTTATATATTATATATAATAATTGTATATAATTATAATATATTATAATTATAT</t>
  </si>
  <si>
    <t>ENST00000370621.7:c.-332-64361T&gt;G</t>
  </si>
  <si>
    <t>OGI475_000995</t>
  </si>
  <si>
    <t>EYS:c.2024-31332T&gt;A</t>
  </si>
  <si>
    <t>TGTCACAAGTCCACTAGGCAGTGCCACAGTGGGGACTCTGTGTGGGGGTTCCAATCCCACATTTCCCTTCTGCACTGCCCTAACAGAGGTTCTCCCTGAGGACCCTGGCCCTACAGCAAACTTCTGCCTGGACAACTAGGCATTTCCATTCATCCCCTGATATCTAGGTAGAGGTTCCCAAACCTCAGTTCTTGACTTCTGTGCACCCACAGGCTCGACAGCATGTGGAAACTGCCAAAGCCTGTGGCCTGCACCCTCTGAAGCAATGTC</t>
  </si>
  <si>
    <t>ENST00000370621.7:c.2024-31332T&gt;A</t>
  </si>
  <si>
    <t>EYS:c.5645-31977A&gt;G</t>
  </si>
  <si>
    <t>TTTTCAGCTTCTTTGTTGTTGGTATATAGAAACACTATTGATTTTTGTATATTGATTTTGTGTCTGGGCTTTACTGAACTTTTTAAATCAATTCTAAGTGTCTTTTGGCCTAGTCTTTAGGCTTTTCTCTACATGGGATTATATCACCTGCAAACAGAGACAATTTGACTTCCTCTTTTCTAATCTTGATGGCTTTTATTTTTCGTTCTTGTCTAATTGCTCTACCTAAAATTCCAATGCTATGTTAAATAAGAGTAAGGAACGTGGGCA</t>
  </si>
  <si>
    <t>ENST00000370621.7:c.5645-31977A&gt;G</t>
  </si>
  <si>
    <t>EYS:c.6424+47353T&gt;G</t>
  </si>
  <si>
    <t>GGCTGATAGAGAAGGGCACACACATGAGTAGGGCACTAATCTAGCTGGAGGATCAGATCTGTATTAGTCCATTCTCATGCTGCTAATAAAGACATACTTGAGACTGGGTAATTTATAAAGGAAAGAGGTTCAATGAACTCACAGTTCCGCATGTGTGGGGAGGCCTCAGGAAACTTACAATCATAGTGGAAGGGGAAGCAAACATGTCCTTCTTCACATCGTGGCAGGAGGGAGAAGAATGAATGCCCAGAGAAGAGGGAAGCCCCTTAT</t>
  </si>
  <si>
    <t>ENST00000370621.7:c.6424+47353T&gt;G</t>
  </si>
  <si>
    <t>OGI3591_005208</t>
  </si>
  <si>
    <t>ABCA4:c.768+1565G&gt;A</t>
  </si>
  <si>
    <t>TTAAAAATGAAGCAACATGAAATAAGACACCGCAGTTTCTGGCACGGTCCACGCTTAATCCCCTTCAATGTGTGACTTTCCGTGGAAAGTTACTCTACGATTTTCCCAGCTCGTCAGGGTGGGGCCCCAGAGTGAATATGAAGGGTCAGAGCCTAGGGATGCCACCATCAGTGAGAGCCCAGGACCCCAGAAAAGGTCTCTTGGCTCACCACACTGTAGGAAAAATAAAAAGCAATGTAGTCCAAATGTCTCTATCCAAAGTTTCAAAAA</t>
  </si>
  <si>
    <t>ENST00000370225.3:c.768+1565G&gt;A</t>
  </si>
  <si>
    <t>ABCA4:c.3523-160C&gt;A</t>
  </si>
  <si>
    <t>TGTCTCCCACAGGCAGAACCTACAGCTGCCACATAATTGATGACAAGCCAAAGGGACCCTTGGAGGTTCTGCTCCTCTCTGTGTGTGACTCACACACTCTCTAGGATAAAATCAAGCGACTACACCCTCAAAATGATCAGATGAATTAACAGATTAAACAGTGAAGAAAAAAATGTGTTGACTACACTTGGCAGTGAGAAATAAATAAAGCGGGCGGTGACAGCAGCTGGCATCAGGGAGAGGCTGTCATGGAAGGGATGTGCATCTTGT</t>
  </si>
  <si>
    <t>ENST00000370225.3:c.3523-160C&gt;A</t>
  </si>
  <si>
    <t>EYS:c.2260-18873T&gt;A</t>
  </si>
  <si>
    <t>GGCTGGGATTACAGGTGTATGCCACCACACCTGGCTAACTTTTGTATTTTTAGTAGAGATGGGGATTTCACCATGTTGACCGGGCTGGTCTTGAACTCCTGACCTCAAGTGATCTGCCTGCCTTGGCCTCCCAAAGTCCTGGGATTACAGGTGTGAGCAACTGCACCCAGCCTATATAGAATTCATTTCAATGAACTCAATTTTATTAATGTTATTAATAGAAACTTTCCATACTTTTGCTTTTTAGGCAAAAAGACATATTTTATGTTA</t>
  </si>
  <si>
    <t>ENST00000370621.7:c.2260-18873T&gt;A</t>
  </si>
  <si>
    <t>EYS:c.2381+7448_2381+7455del</t>
  </si>
  <si>
    <t>TATAACTATGGTGAAGTTTAAATATAAGTTAGGCACATTAAGAGATTAACAACAATAACTACTAATTAAATAGAAAAATCATAACATACTGTAATAAAAGTGTGTCAATGTGGTCTCTCTCTCTCTCTCTCTCTCATATTATACTATATTCATCTATTTTTAGAGCATGGTTGACTGCTGGTAACTGAAACCAGAAAGCAAAACCATGGAAAAGGAGAGAACTACTATAGATTTAGTAGATTCGTAGAGAAGTACAAGGATCACCACTAT</t>
  </si>
  <si>
    <t>ENST00000370621.7:c.2381+7448_2381+7455del</t>
  </si>
  <si>
    <t>EYS:c.3443+27262A&gt;C</t>
  </si>
  <si>
    <t>CTTCTTGCCCCTTTTTGCCTATTAAACCCTCTGCTTCTTAAAACCAAAAAAAAAAAAAAAAATGTAGAACCAGTAAAGACTACCAAGTCTAAAGGTCAAAGCTCAGTCTAGCTAAGCTAGATGGGCTCATTGTACAACCTGAGTTATATTCTGCTAGAATTTCTAAAATATTCCATTTTTCTCTCAGCCTATACTTTGCACAGTTACGATTATTTACTTAATTCTTTGCAGCATTTAGTGCCTTTATTCCCTACTTGACTATAAGATACA</t>
  </si>
  <si>
    <t>ENST00000370621.7:c.3443+27262A&gt;C</t>
  </si>
  <si>
    <t>EYS:c.3444-73773G&gt;T</t>
  </si>
  <si>
    <t>TCTATTTAGATGATTATATGGTTTTAAATTTTAATTCCGTTTATGTGGGGAATCACATTTATTGATTTGTGTATATTGACCCATCCTTGGTTCCCTGGAATAAAACCCACTTGATTATGGTATATTATCTTTTTTATGTGCTGTTGGATTCAATTTACTAGTTTTTTGGTGGGGATTTTTACACCTATATTTATCAGAGATATGGGGGATTTTTGCATCTATATCTATCAGAGATATGGGTATGTAGTTTACTTTTGTTTGTTAGTGTTG</t>
  </si>
  <si>
    <t>ENST00000370621.7:c.3444-73773G&gt;T</t>
  </si>
  <si>
    <t>VPS13B:c.5295+14469G&gt;A</t>
  </si>
  <si>
    <t>TCGTCATTTTCAGGTACACCAATCAAACATAGATTTGGTCTTTTCACGTAGTCCCATATTTCTTGGAGGCTTTTTTCTTTTCTTTTCTCTTTTTTCTCTATCTTCAATCACTGATACCTTTTCTTCCACTTGATTAAATCAGCTACTGAAGCTTGTGCATGTGTCACGTAGCTCTCATGCCATGGTTTTCAGCTCCATCAGGTCATTTAAGGTCTTCTCTACACTGTTTATTCTAGTTAGCCATTCATCTAATCTTTTTTCAAGGTTTTT</t>
  </si>
  <si>
    <t>ENST00000358544.6:c.5295+14469G&gt;A</t>
  </si>
  <si>
    <t>OGI2045_003471</t>
  </si>
  <si>
    <t>EYS:c.-333+33734A&gt;C</t>
  </si>
  <si>
    <t>GGTAAGGAATACTTATTCTCTATATTTCTTATTCTCTGTGTTTCCTAGAGACTACCATTTTGTCATGTAAATAAATATTGTTTTTAAAAATTTGCGACTATTGGTAGTTTTTAACTGTAAGAACTCAGTACTTTACGAATATTAATTATTCATTATATCTGATGTGAAATATTTCCTCAAGTTTTTATCTGTAAATGTTTATTTTTACTTTTCAAACTACTGAAATGTGTAAAAGGAAATGTATAAAAGGAAAGTAAACATTGACCACAA</t>
  </si>
  <si>
    <t>ENST00000370621.7:c.-333+33734A&gt;C</t>
  </si>
  <si>
    <t>OGI2775_004354</t>
  </si>
  <si>
    <t>ABCA4:c.5019-212A&gt;G</t>
  </si>
  <si>
    <t>GACTCTATAGACAGATTATTAGAGCTAATGAGAGCATTGCAGTACATAAGATTAATATAAACATCTATTTCTATACACCATAAAAATAATTAGAGAATATAATAAAAAGAAAGGTTGTCTAGAAATATTCACATGGAATAGAAAGGCAACCCGCAAATACCCATTTAACCTTGGTCCATATGGATTAAGACAGTTTAGTGGAGTGACAGCTTCAAGGTAGAGAAGAGGAACCTGGAGGCCACACCTGGGCGGGTGTAAGGCCTTCCCAAA</t>
  </si>
  <si>
    <t>ENST00000370225.3:c.5019-212A&gt;G</t>
  </si>
  <si>
    <t>ABCA4:c.66+3186C&gt;T</t>
  </si>
  <si>
    <t>ATAATTGCACTGGGACAATAAATGTAAACCAACACTGGACCTGGAAAACTGGGACGTGTGTTTGCCCTATACCAAGGTAAGCTAGACACAGCCACTGCCTTCATGGAGTTCAGAACCAGGCAGGGGCGGCTCCCATGTATAATTACTGTGCAGCACAACGTGGAGACCGTGGAGTAGAAGGAAACACGGATGGGAGGTGAGGAGGAGGTCTGTGAGCTCAGAGGAGGCACCGGGGCTGGAGAGGGTGAGAGAAGACTTCCCAAGGAGTTC</t>
  </si>
  <si>
    <t>ENST00000370225.3:c.66+3186C&gt;T</t>
  </si>
  <si>
    <t>na</t>
  </si>
  <si>
    <t>OGI1573_002793</t>
  </si>
  <si>
    <t>ABCA4:c.1554+2284G&gt;T</t>
  </si>
  <si>
    <t>CAATTTTCCAGAGTGTGTGACCCTCGCTCTCCAAACTCTGGAAGTGGCAGCCGAGGCTCCCCAGTGGCCTTTCAGAAGGTGCCAGTCATGACAGCAGCACCAAACTGCAGGCAACTACTAAGCGATCACCAACTTTTCTGAAGATAAGAATGACCTTGAATGCATTTTATAAAACAGGATTTTTTTTTTAATTTTTAGATTTTCTTTCTTTATTTTACCTTAAGTTCTGGGATACAAGTGCAGAATGTGTAGGTTTGTTACATAGGTATA</t>
  </si>
  <si>
    <t>ENST00000370225.3:c.1554+2284G&gt;T</t>
  </si>
  <si>
    <t>OGI203_000488</t>
  </si>
  <si>
    <t>ABCA4:c.161-402A&gt;G</t>
  </si>
  <si>
    <t>AATCTGCCCAGTCCTCTATTCTTGATCTTCACCTTCTCGTTCATGAGTTTCAGGCCCCAGTTCTGAATCAGCCTCCTGTCCATCAGACTCTTCTTTACCTCTCCCCGAGGAGCCCATAACCTGCAGCCCTACTGCgTGCTTGGGGTAGGTGCTCAGTTCACCGTGGTTGAAGGAATAGACGAGCGTCTGCTCAAGCAGCAGCAGCAACTGCGTGGAGTCTTCTTGAACTAACACTCCTATGCCCCTCTCGGCACAAAATGACGTGTCCCC</t>
  </si>
  <si>
    <t>ENST00000370225.3:c.161-402A&gt;G</t>
  </si>
  <si>
    <t>OGI1981</t>
  </si>
  <si>
    <t>ABCA4:c.4539+1493G&gt;T</t>
  </si>
  <si>
    <t>CATAATATTATTATGAGGATTTAATGAAATCATGTGGGCAAGGAATTATTTAGAATTAGATTCAACTCAAGTGATGACAACCCCAAACTAACAGCAGATAAAACAAGACACAACTTGTTTCTCACTCATCTAAAAtTCTACGTGGGTGGTGCACGATGTTCTATTCTCTTTCTCCTCCACACTAAACAGGCCTCAGCCTCATCAGCCAATAAGGCAGGAGCTGCCTTCCAGGCAGCGGAATGGAAGAAGGATGAAGCAAAACAGAGGGCA</t>
  </si>
  <si>
    <t>ENST00000370225.3:c.4539+1493G&gt;T</t>
  </si>
  <si>
    <t>OGI2341_003899</t>
  </si>
  <si>
    <t>ABCA4:c.67-2203G&gt;A</t>
  </si>
  <si>
    <t>TGGTTGTTAACCCAGATCTTCCCACTAACTCCCAAATCAGCATCAGTGTTTAACGTACCAGACCTCTCCCAGATAGATGTTGCCGCATGGAAGACAGCCGATCTACGTGATAGAAAGCCAATATTGCAAGCAGTCATCTAAAGGAGTCAAATGTGTTGGATTTGAACTGGATGTCTCATTTCTTTGGTGAAGACACTGGAAACAACTTCCAGGTTTCATCAATTGCTCCTATCACTCAACGTTGCTATCTTACTGAACTTGTTCCCCAGC</t>
  </si>
  <si>
    <t>ENST00000370225.3:c.67-2203G&gt;A</t>
  </si>
  <si>
    <t>ABCA4:c.6729+443A&gt;G</t>
  </si>
  <si>
    <t>CATACGATGAAACACAGGTTCTTTGGGAGGCCAAGGCAGGAGGATCACTTGAGCCCAGGAGTTTAAGACAGGCCCATGTAACAAAGTGAGACTTTGTCTCTACAGAAAAAAAAAAAAAAAATCAGAAAATTAGCCGGGCGTGGTGGTGCATGCCTGTGGTCCCATCTACATGGGAGGTTGAGGAAGGAAGATTGCTGGAGCCCAGGAGGTCAAGGCTGCAATGAGCTGTGTTCATACCACTGCACTCTAGTCTGGGTGACAGAGCAAGCC</t>
  </si>
  <si>
    <t>ENST00000370225.3:c.6729+443A&gt;G</t>
  </si>
  <si>
    <t>USH2A:c.12066+6909G&gt;A</t>
  </si>
  <si>
    <t>GTAAAAATACAAAAATTAGCCAAGCATGGTGGCTGGTGCCTGTAATTCCAGCCACTCTGGAGGCTGAGGCAGGGGAATTTCTTGGACCCGGGAGGTGGAGGCTGCAGAGAGCCGAGATTGCACCATTGCATTCCAACCTGGGTGACAGGGCAAGAACCTGTCTCAAAAAACAACAACAACAACAACAAAAACTCCAGTCTAAATTAAAACCTGATATGTGCTTAAGGATCTGCAGTGGGGAAAGAGGGCATGGTCATTTTCCTCTTTCTT</t>
  </si>
  <si>
    <t>ENST00000307340.7:c.12066+6909G&gt;A</t>
  </si>
  <si>
    <t xml:space="preserve">OGI1653_002883 </t>
  </si>
  <si>
    <t>PDE6B:c.468+4287G&gt;A</t>
  </si>
  <si>
    <t>AGTTTGCAGGGCTGTCATCTCAGGAAGTGAAGGCTGGGCTGGGGTCGGGCTGCTGGGCCACGAGGGGCAGCGGGAGGGAGCCGCTGAGGCTGGAAGCTGCACCAGCCAGGCTGGGACCAGGGTGGCTGTGGCCCAGCTGGTACCGAGTGCCCATCCATGCAAGGGCAGCAGAGTGACCAGACGCTGGGGAAAGGAGAGCAGGTGTCAGTGAGAGAGTGGCCGGATGTTTCCGCGTGGGACTCTTTGCAGTCTCGATGGCAGACTTACAAA</t>
  </si>
  <si>
    <t>ENST00000496514.5:c.468+4287G&gt;A</t>
  </si>
  <si>
    <t>EYS:c.6192-29367T&gt;G</t>
  </si>
  <si>
    <t>AAATAGCATTGTTTCACCCGTAAATATAAGCAGTCCTGACTAGTATGGCAGCCTCATGGTGGTCAGTAACCCAGGCTTCTAACTGCATGTCCTGCCATTCTCACTGTGTTTAAGATAGCGAAACTCCAGCAATCCGAGCTGCATTGCAGCAAATAGCAGGGTAAAAGAAATGAAGGAAAAAATACCCCCTGCCCCGCCCCATTAAAGAACACTTCTCAGCATTTCACATATTACTTCACATATTTCATTGGCCAGAACTTAAGTCACATT</t>
  </si>
  <si>
    <t>ENST00000370621.7:c.6192-29367T&gt;G</t>
  </si>
  <si>
    <t>PEX14_c.586-313A&gt;G</t>
  </si>
  <si>
    <t>TAAGATGTAGTTCTGTGAAGTTTATTTGGAAAACAGTGTTACCTTCAAAGGGGAAAGGTGTGCATGGAAGGATGGGGTTTGTCAGAGATGGTGGCTGTTTCCTCTTTCCACCCCGGACCATCTTAAATCCCAGACgTCATCCCACTTCATACCGCACCCGCACGCCTCCGCATGTCTCTAAAAGACGCCCACGATACCATTATGTCACCTAAAAACACGTAATGATTCCTTACGTCATCAGATGTCCAAACAGAGCTGTGGGAATGTTTA</t>
  </si>
  <si>
    <t>OGI2025_003449</t>
  </si>
  <si>
    <t>ABCA4:c.3607+1228C&gt;T</t>
  </si>
  <si>
    <t>TTTCTTTGTATAGAATCGGGATGCTGTGAATGGTGGGAAATGCACTAAATAGTTATGCCCCAAATAAGAAAGGGAAAATCATTTGAATCCCCAGTTAGCTCCTTGAAAGTCTTTTCACTTAAACACACCCACATAtCACACACACACTCACAGACCTCCCTCCCAGATGCCCAAAGCCCTGCTGACCTACAGAGCTACTTCTGGAAAGGCTGACACATGCCTAAGACACAATTCCTGGGAATCCAGCAGCTTTGGGTTCAATTTCCTTCC</t>
  </si>
  <si>
    <t>ENST00000370225.3:c.3607+1228C&gt;T</t>
  </si>
  <si>
    <t>OGI2191_003672</t>
  </si>
  <si>
    <t>USH2A:c.652-3862A&gt;G</t>
  </si>
  <si>
    <t>ATTACAGTGGTTTTCTTTTTGTTTGAATTTCTTAGCATTCAAAATGATGTTCCTTATATTTGTATCATCCATCATGATCTTTTAAGGGGAAATTTAAATTTAAGATACGTTGTCAAATCGCTTAATGTTAATCTGTTAGAAAGGTGTTATTCTGAATGCATAAAATGGTTTTGCTTTAAATGAGGCCCTCCAAATTAATAAAACTGCTCTTCCTGGGAAGCTTCTAAGTTGGTTCTGGGAAAGCAAGTCACACAGAGAAGGTCCAAAAAT</t>
  </si>
  <si>
    <t>ENST00000307340.7:c.652-3862A&gt;G</t>
  </si>
  <si>
    <t>EYS:c.5645-46672del</t>
  </si>
  <si>
    <t>CCCAGGAATTAAGTATTTAACCTTTTTATTTCTAATATTACAAACCCTGTATTCACAGAATTTTGAGATTCTCTGTAACTAGGTTTAATCACATTTGATTACAATAAAAGGTTACAGTGGAAAAACAATACTTTTAAATAGCTATTACTTCTTTAAAACCAGCATATAATTTCCTTTGTCTATTTTCTCTTGGGTTCTTTCTGAGTCTGCTATTATCTTTAAATATAAATCCTCAGTATTTATATAATCATAATATAGAAATATGAATAT</t>
  </si>
  <si>
    <t>ENST00000370621.7:c.5645-46672del</t>
  </si>
  <si>
    <t>OGI2131_003565</t>
  </si>
  <si>
    <t>ACO2:c.36+600T&gt;C</t>
  </si>
  <si>
    <t>GGACCCTGTACCACCTTTTGAGGACCCTGCGGAACGTGGAATGTCGGGGAGGGGGGCGGTCTTCTGGGCCCATACGTAGTAAATAATATAATAATAGTCTCTCACCTTTGCACAAGATTTGAGGCCTGTTTTAACTCTTCATAATATTATTTGATTCCTGTAATCGTAGGAATGAGGTGGTTTTTCTCATTTGATAGATGATAAAGCTGGTAGAAAGTAGGTGAAAGTTCTGATTCTCAAGAGTGTCACCGAAGTGCTGTGGCAGAAGCA</t>
  </si>
  <si>
    <t>ENST00000216254:c.36+600T&gt;C</t>
  </si>
  <si>
    <t>ACO2:c.525+956C&gt;A</t>
  </si>
  <si>
    <t>TCCTGGGGAGGTGGGTGCTTCCCTTTCTTCCAAGGGCACTGTTAGGGACCACTGACCTAGTTTGTGTCCATTTACATCCACCCTGTATGTATGAAACCTGCCTCTTCGCACCTTTGCAAGGTGGCCCTTCCCCCAACCTCCATCCCAGACCTCACTGTCCTGGCCTCCTCAGGATGTGCTGAGTCAGGCTGTAATCTGACGCCGCATGGGCTCCCAGCACCGCCCCGCTCTGAAACCAGAGCCAGCAGGGGATCACTCCTCTGCCCTGCC</t>
  </si>
  <si>
    <t>ENST00000216254:c.525+956C&gt;A</t>
  </si>
  <si>
    <t>OGI1446_002641</t>
  </si>
  <si>
    <t>ADGRV1:c.10426+45C&gt;A</t>
  </si>
  <si>
    <t>CAAGAGGTGCCTGTCAGTGGGACAACAGAAGTTGAGGCTTTGTCTTCAGCCAATGATATTTACCTAATATTTGCCGAAAATGTCTTTCTAGGTGAGAAGATAAAGTATTTGTAGTGTATATATAATTATTGAAATaATCTAGCATTCATATGGTATATTTTATATGAAAATGCTCTTGCAATAATTTTTTACTAATCCATAGAATATTTCTTGATAGATAAGTATTAATTGTCAGCTGTAAATGGATTTTTGAGAAATATTTAAGCATTA</t>
  </si>
  <si>
    <t>ENST00000405460.8:c.10426+45C&gt;A</t>
  </si>
  <si>
    <t xml:space="preserve">OGI1226_002378 </t>
  </si>
  <si>
    <t>PEX7:c.130+688G&gt;A</t>
  </si>
  <si>
    <t>GTTGTCTAACGAGGAATGCACACATTCGCAAGTAGGTGTTACAGACTCCAGTTAATTGTCTCCCGTCGCGCGCATTGGCTCAGCCTGTGGTTAAAGCTGCTCAGGAGGCTGAGGCGGGAGGATCGCTTGAGCCCAGGATGTTGAGGCTACAATGAGCTGAGATCACATCACTCTGCCCCAGCCCAGTGAGCTGAGATCACATCACTCCACTCCAGCCTGGGTGACAGACTGAGACCCCGTCTTAAAAAGAAAAAAGGCCAAGCGCCGTGC</t>
  </si>
  <si>
    <t>ENST00000318471.5:c.130+688G&gt;A</t>
  </si>
  <si>
    <t>OGI1244_002408</t>
  </si>
  <si>
    <t>USH2A:c.2809+6580C&gt;A</t>
  </si>
  <si>
    <t>GAGTTACACAACTTGAATAAATTAGCTTATTGTCGGGCTCTCCACTGCAAGAGCTTAGCTTTTTCTTATAGGTATCTATAATTGATTGTCATTTTTCTCCTTCTCTCTTTTTTTTTTTTTTTTTTTTGTTTATTTAATCTCTGGGGATTTCAGGAGGGAAACATTATTCAATCTACCATGTTTTACTGACAATGTTCCCCTAGTGTTTTTGAGGTTTTAATCTTTTCAGACCAAATCTTTGCAGACATCCTTGAGCCCTCTCTTTTCCCC</t>
  </si>
  <si>
    <t>ENST00000307340.7:c.2809+6580C&gt;A</t>
  </si>
  <si>
    <t>ADGRV1:c.10550-7246T&gt;G</t>
  </si>
  <si>
    <t>CTTGTTGTTATAGAATGGTCTTCTTTGTCCCTTTTTATAGTTTTTTACTTAAAGTCTATTTTACCTGATATAAGTATATCTACCCTTCTGTTTTGACTTACATTTGCAAGGAATGCCTTTTTCCATTCCTTCATTgTCACTTTATATGTGTCGTTATTGGTAAATAGTCTCTTGTAGGCAGCATATGATTGGATCTTATTTTTTTTTAATACATTAAGCCATTCTGTGTCTTTTGATGAATTTAATCAATTTCATTCAGGATAATTATTA</t>
  </si>
  <si>
    <t>ENST00000405460.8:c.10550-7246T&gt;G</t>
  </si>
  <si>
    <t>ADGRV1:c.14661+563_14661+569del</t>
  </si>
  <si>
    <t>TGCATCTTCTGTCTGAGGTCGTTGTAGGAAAGATTATTTCCCAATCATTTCATAAATGCACATGAGAACAAAGAACAACTTGAGGGCTTTCCTTTCCTTTCAGGCGGATTCTGTCAATATATGAAAAAGACAAGGCTGTGGCTATGGTAACGTGTGTATGTTTGAAGCCATTGTGTGATATAATTCTATCCTACTCCTTCAGGTGGGAGCTGAAGTGACTCGGGCAAGCCTGGCTCAAGATGCTGAGGTGGAATCTGTACAGATGAATGG</t>
  </si>
  <si>
    <t>ENST00000405460.8:c.14661+563_14661+569del</t>
  </si>
  <si>
    <t>ADGRV1:c.16368+1664T&gt;C</t>
  </si>
  <si>
    <t>CGGGGTTTCACCCTGTTGGCCTGGCTAGTCTGGAACTTATAGCCTCAAGCGATCCGCCCACCTTGGCCTCCCAATGTGCTGGGATTACAGGCATGAGTCAGCATGCCTAGCCCCCATATTTCTTAACTATAGCTTcCCGTTAATCAAAATACCACTTTCTCCATGATGCCTCCCATGAAACCTCTAGTTGGAGTCGTTGATTCTCTAAATTTATAAAACATTATCTGTTCCTTTCCTATGGAAATTATCAGTTATATGCAGTGTTACAAC</t>
  </si>
  <si>
    <t>ENST00000405460.8:c.16368+1664T&gt;C</t>
  </si>
  <si>
    <t>ADGRV1:c.17974-40A&gt;G</t>
  </si>
  <si>
    <t>AAGAATGAAATTGTTATGAAAGAATGAATGTATGAACTAACTTAAAAAAATCAAAACTAATTATTAAGTAGATCCTGGCCTTTTGTTGGTCGGTAACATTGCCTAAGCCAGTAGAGTTTGTGTTCTGTGCCATTGAAGAAGAGCCTGTTCATTTTATGTTGTTTTCTTCCTTAGTCTGTGAATTTCTGGTACGTGCTGGTGATGAATGATGAGCACACAGAGAGGCGATATCTGCTGTTTTTCCTTCTGAGTTGGGGACTACCAGCTTTT</t>
  </si>
  <si>
    <t>ENST00000405460.8:c.17974-40A&gt;G</t>
  </si>
  <si>
    <t>OGI2205_003686</t>
  </si>
  <si>
    <t>CEP164:c.3216+180G&gt;A</t>
  </si>
  <si>
    <t>TGGGGCATTGGGAGGGGCTGGGCATCAGGGGAGTACTTCCAGAGGGGACAGCTCATCAGGAGGGGTGGAGCCTCAGGAGGGGAGGAGTATAAGGTGGGCCAAGGCATCAGGAAGGGCTGGCTCTGTTCTCTATGAGACCTGGTCTGTTCTTATTCCCAGCTACCAGTCGTCTCCACCAGTCAGATGATATCTATAAGTAAACAGTGCCTGGCAGCTAGAGAGCCATTTCCTTGTCTAGACCACTGGGAGGGGCTTTGGGGTCTTGAACCT</t>
  </si>
  <si>
    <t>ENST00000278935.7:c.3216+180G&gt;A</t>
  </si>
  <si>
    <t xml:space="preserve">OGI1244_002408 </t>
  </si>
  <si>
    <t>USH2A:c.4627+36330_4627+36333del</t>
  </si>
  <si>
    <t>CAGGAATGGTGTCACTGACAAAGGTGGCCACACTTTGCAGTAAGATGTGAGTGGGACATAGAAACTAGATTTGGTTGAGTAAGAGGAAAACCATATATACACACACATATATATACACACACACACACACACACATTAATATATGCATATTTAAAAATATATACATTTCAAAAGCTCATTTATGTTGAATACTAAGTGGGAAATTCATCAGCTGTTTGGCTTCCTGTCTGTTTTATTCTTTGCCATTGCAGACTTGAGTTGTCTTCCTGA</t>
  </si>
  <si>
    <t>ENST00000307340.7:c.4627+36330_4627+36333del</t>
  </si>
  <si>
    <t>USH2A:c.4628-29479_4628-29477dup</t>
  </si>
  <si>
    <t>TTGATTGGTCCAGTGAAATACTGCTTGGAATGAAGGCTTCAACTTTAAATCTATTTAATCAAATTTGGTAAAACAATCATGGATCAAATATATTATTAATGTTACGTGGCTTTTATTATTATTATTATTATTATTGCAAAAATTAGGAGCCTTGGTTTTTGTGGCCTTATTCTATTTCAGTTAGATATAATATCTCCTGGCCTTGGGTGCTTTTTACATACAAATGGGGTAAAATAGTTATTATAAAGAATAGAGATTGAATAGATGTGC</t>
  </si>
  <si>
    <t>ENST00000307340.7:c.4628-29479_4628-29477dup</t>
  </si>
  <si>
    <t>COL11A1:c.4303-1383C&gt;A</t>
  </si>
  <si>
    <t>CAACAGCATCTGTTGCCTGCGTAGTTTCACTTGTATAATTTCACAAGGACTGTATTTTGTGTTGTCTTCAAAATTGTAGTACAACAATTTGGCTTGTTAGTGTGGTGTGTTTTTGTGTTTTGTTTTGTTTACTTTaTCTAGCGACAGGGTGTTCCTCTGTCACCCATGCAGGAGTGCAGTGGTGTGATCTTAGCTCACCGAAGCCTCAAACTCATGGGTTCAAGTGACCCTCCTCCCTTAGCCTCTCAAGTAGCTGGGACAGCAGGTGCA</t>
  </si>
  <si>
    <t>ENST00000370096.9:c.4303-1383C&gt;A</t>
  </si>
  <si>
    <t>COL11A1:c.651+12029C&gt;G</t>
  </si>
  <si>
    <t>GAAATGCAATATTAACAGAGGACATCCTTGCCTTCTTTCTGATCAGTTTGAGAAAATGTCCTTCTGTTCCTAGTTTTCAGAACATGTTTTAAAATCATGAATGAATGCTGTATTTTGTCAAATGCTTTCCTGCATgTATGATATGATAATTTATTTATTTTTTCTTTAGCTTGTTGATGGTGATACTAATTTATTTTCAAATATTGAAACAGCCTGGCATACCTGGGATAAATTCCACTTGACTATGGCATTTACTTATTTTATATACCT</t>
  </si>
  <si>
    <t>ENST00000370096.9:c.651+12029C&gt;G</t>
  </si>
  <si>
    <t>ADGRV1:c.18432+10324T&gt;A</t>
  </si>
  <si>
    <t>AGAGAGTTTGGGAGAGCAAAGCAAATGACATTTGGGACTCGTTTTTACCTGGTCATTCAGATTCTTTGTCTTCATGTTAACTGATAATTTTTTCCAGGATCTAAAACTTTATTCTTCTCTCTCATATTACTCAAAaGTTGGGGTGGGGAGAATACATTTTTTAAAAAAAAACTTTATATGAATATTTTACACCAACATTTTGTAACGTTCAGCCATCAGATTTAGTAGAAGGTGCATGCAGTTAAGTGTCAAGCAACCTCTATTTTACCA</t>
  </si>
  <si>
    <t>ENST00000405460.8:c.18432+10324T&gt;A</t>
  </si>
  <si>
    <t>NMNAT1_c.-56-8582G&gt;A rs200701875</t>
  </si>
  <si>
    <t>CTACAAATGAACAGTCTTGACACAGGTGTTTTCAGTATTGCCAAGTCTTAGATGTACACAGTGAGGCATTGCATAGCCTTAATTTCCAGATTTATTTTTAACCCACTATTTCTTTTTTTTTTTTTCCAAGATGGCaTCTTGCTGTGTCCCCCAGTCTGGAGTGCAGTGGCACAATCTAGGCTCACTGCAACCTCCATCTCCCGGGTTCAAACAATTATCCTGCCTCAGCCTCCCGAGTACCTGGGATTACAGGCGCACACCACCACGCCC</t>
  </si>
  <si>
    <t>ADGRV1:c.18803-2256C&gt;A</t>
  </si>
  <si>
    <t>GAGACAAACTGAAGGACTGCCTGGTCCATGGGTTTTTTGTTGTTGTTTTTTGTTTTGTTTTGTAATGCGGAAATGCAGGCCCAATGTTGCCTGATCTTCTGGTTGTTGTTTTTGTTAGTTTTTTTTTTTTTTTTTaAAGAGAAACCAGAAATCTGATTTTTTTGATGTGAAATGTATTAATTGGTAAATTTTAGCAACTTAGTAAATTTTTAAAAATACATTGTCACTGGCAATATTCTGGTTCTTGAAGAAAGGAGTTTATGAGTGTTT</t>
  </si>
  <si>
    <t>ENST00000405460.8:c.18803-2256C&gt;A</t>
  </si>
  <si>
    <t>NMNAT1_c.-57+10323C&gt;T</t>
  </si>
  <si>
    <t>AGTGCTGGGATTGCAGGCATGAGCCACCACACCCGGCCCTATTTTTTCATTTTAAAAAATTCGGACATAGTTTTTGCTGAAATCATATATCACTCTTTTTTTTTTTTTTTTTTTTTTTTTTGAGACAGAGTCTTGtTCTCTTGCCCAGGCTGGAGTGCAGTGGCACGATCTTGGCTCACTGCAACCTCCGCCTCCCAGGTTCAAGCGATCCTCCTGCCACAGTCCCCATCGTAGCTGGGACTACAGGCACGTGCCATCATGCCCAGCTAA</t>
  </si>
  <si>
    <t xml:space="preserve">OGI1959_003364 </t>
  </si>
  <si>
    <t xml:space="preserve">ALMS1:c.451-3535G&gt;A </t>
  </si>
  <si>
    <t>AGAGTGACTTTTTTTTATTTTCAAGTCATAAGATAGAAATCTGGTAATGGGGATTGTAGATCTGGTGGTTGAAGACAAGGGAGTTCCTCTCTCCTGCTCTACAATTATTGAAGGTCATCAGTTGAAAATTAGGAACGTTCAATAGTTCTGAGGAGGGAAGGTATGAAATCTCAACTCACCAGGAAAATGTAGTAGGATTTCCAGGCAATATTGAGTGCCCTTCAGGTTTAGTGACATCAATTTAAAGAAAAGCCAGTCAGTTTGGGAGTG</t>
  </si>
  <si>
    <t xml:space="preserve">ENST00000613296:c.451-3535G&gt;A </t>
  </si>
  <si>
    <t>NMNAT1_c.-57+13432G&gt;T</t>
  </si>
  <si>
    <t>ACCTCCACCTCCGAGGTTCAAGCGATTCTCCTGCCTCAGCCTCCTCAGTATCTAGGATTGCAGGCACATGCCACCATGCCTGGATAATTTTTGTATTTTTAGTTGAGATGGGGTTTCACCATGTTGGTCATGCTGtTCTCAAACTCCTGATCTTGTGATCCACCCGCCTCGGCCTCCCAAAATGCTAAGATTACAGGCATGAGCCATTGCATCTGGCCTTTTTATTTTTATTTTTGAGGTGGAGTTTCGCTCTTGTCACCCAGGCTGGAG</t>
  </si>
  <si>
    <t>OGI2074</t>
  </si>
  <si>
    <t>BBS1:c.1111-966A&gt;G</t>
  </si>
  <si>
    <t>AACCCCGTCTCTACTAAAAATACAAAAAATTAGCCGGGCATGGTGGCAGGTGCCTGTAGTCCCAGCTACTCAGGAGGCTGAGGCAGGAGAATGGCGTGAACCTGGGAGGTGGAGCTTGCAGTGAGCCGAGATCGCgCCACTGCACTCCAGCCTGGGTGACAGAGCGAGACTCCATCTCAAAAAAAAAAAAAAAGCCGGGTGTGATGGCACACCTGTAATCCCAGCTACTTGGGAGGCTGAGGCAGAAGAATCACTTGAACCTGGGAGGCA</t>
  </si>
  <si>
    <t>ENST00000318312.11:c.1111-966A&gt;G</t>
  </si>
  <si>
    <t>BBS1:c.723+569C&gt;A</t>
  </si>
  <si>
    <t>AAATAAAAGCAGGAGGATCATGTAACATGTTCTTTTCATGTAGCAGTATATCATCAGTGTCTTTCTATATCTATAAAACCACATCAGCCTTTTATTTTCTTTTGTTTTGTTTTTTGTTTTTGAGGCAGAATCTTGaTGTGTCACCCAGGCTGGAGTACAGTGGCTCTATCTCAGCTCACTGCAGCTTCTACCTCCCGGGTTCAAGCAGTTCTCATGCCTCAGCCACCTGAGTAGCTGGGACTGCAGGCATGTACCACCACACCCAGCTAA</t>
  </si>
  <si>
    <t>ENST00000318312.11:c.723+569C&gt;A</t>
  </si>
  <si>
    <t>OGI2146_003580/OGI2146</t>
  </si>
  <si>
    <t>CC2D2A:c.4315-1612A&gt;G</t>
  </si>
  <si>
    <t>GTAAAAACCCACCCCCAAACTAAATGGCTTCAAACATTTATTCTCAGGGATCTGAGTCAGCTGGGGAGGTTCTGCTAATTGAGGCTGGGCAACTCTGCTGCAAGTTGTGGTAGCAAGACAAGCTCTGCTTCTCACgGTAGATCTGTGGGTCAACTGGGAGAGCTCAGCTTCAGGTGTGTTTATTCTGGGATGCAGTGCAATGACAATGGCAGAGGTACAAAAGGACAAGCAGAAGCACACAAAGCCTCTTAAGGGTAGGCTCAGAAGCCA</t>
  </si>
  <si>
    <t>ENST00000424120.5:c.4315-1612A&gt;G</t>
  </si>
  <si>
    <t xml:space="preserve">OGI1786_003112 </t>
  </si>
  <si>
    <t>CDH23:c.-5-10683T&gt;G</t>
  </si>
  <si>
    <t>GATATTTTCTGTAGGTTGCGTTTTTACTCTGTTGATAGTGTCCTCTGATGCATAAAAGTTTTTCATTTTGATGAAGTCCAATTTATCGATTTTTTCCATTTCTTGCCTGTGTTTTTGGTGTCATATCCATAGTGGTATCAGTCATTGTTATCTCGATAAAGCTGCACAGCAAAACACCACAGCAGTCATTTATTCTTTCTTATGTGTCAGGGGTCAGCTGGAGGGAAGGTCAGCAAATCTAGGCTGGACGTGACTGAGCTTGACTCTAGG</t>
  </si>
  <si>
    <t>ENST00000616684.4:c.-5-10683T&gt;G</t>
  </si>
  <si>
    <t>NMNAT1_c.116-1265G&gt;A</t>
  </si>
  <si>
    <t>TGCAAACATTTGTGTGTATACACAGATTTTTTTTTTTTTTTGTGGAAATGGTTCTCACTCTGTCACCCTGGCTGGGCAGGCTGGAGTACAGTGGCATGATCACAGCTCACTGCAGCCTTTACCTCCCGGACTCAAaTGAGCTGCCTGCCTCAGGCTCCTGAGTAGCTGTGACTACAGGCATGCCACCACATCTGGCTAATTTTTTTTTTTTTTTGGAGACAGAGTCTTGCTCTGTCGCTCAGGCTGGAGTGCAGTGGCATGATCTCAGCT</t>
  </si>
  <si>
    <t>NMNAT1_c.116-1631C&gt;G</t>
  </si>
  <si>
    <t>TCAGCCTGGCCAATGTGGCGAAACCTTGACTCTACAGAGTCTCGCTCTGTCGCCCAGGCTGGAGTGCAGTGGCACAGTCTTGGCTCACTGCAACCTCCACCTCCTGGATTCAAGCGATTCTTTTGCCTCAGCCTCgCCTGTAACTGGGATTACAGGCACACAGCACCATGCCCGGCCCATTTTTGTATTTTTAGTAGAAATGGGGTTTCACCATGTTGACCAGGCTGCTCTTGAACTCCTGTTCTCAAGTGATCCTCCCACGTCGGCCTC</t>
  </si>
  <si>
    <t>NMNAT1_c.300-2315A&gt;T</t>
  </si>
  <si>
    <t>GCAGGGAGAAGAGTCTCCACTGCTTGATGGCAAAAAATTCTCCCATGAGGGAGCAAGTTCCTGGGCCACAGCCCTACCCGACCCTCTGGCTTTATAGTAACCTTATTGCCCATTAAATAGTCAACTCAGCTGCTCtGAAGGGTTGGGATGTAGGGGAATAAAGGCCCACAGTTGGATCCCACAAGTGTAGTTGATGTTATTTGGGTAACATTGCACAGTTTGAAAACAGTGGGCACCCTGCTGCCAGCCCAGAATAGAGCTATACACAAA</t>
  </si>
  <si>
    <t>PDE6D_c.372-1793C&gt;T</t>
  </si>
  <si>
    <t>CTAAAAGTAGATTTTTTAATTACAGTAGTAGCTATTTTTATATCTTATCAGCCAGTCAGATTCTGAGTACCTTATTTACCTGTTTTTTGGGGTTTTTTTTTTTGTTTTTTTTTTTGAGACGGAGTCTCGCTCTGTtGCCCAGGCTGGAGTGCAGTAGCATGATCCCAGCTCACTGCAACCTCCGCCTCCCAGGTTCACGCCATTCTCCTGCCTCAGCCTCCTGAGTAGCTGAGACTACAGGCACCCGCCACCACGCCCGGCTATTTTTTT</t>
  </si>
  <si>
    <t>PDE6D_c.372-1811G&gt;T</t>
  </si>
  <si>
    <t>TGAGCCACCGTGCCTGGCCTAAAAGTAGATTTTTTAATTACAGTAGTAGCTATTTTTATATCTTATCAGCCAGTCAGATTCTGAGTACCTTATTTACCTGTTTTTTGGGGTTTTTTTTTTTGTTTTTTTTTTTGAtACGGAGTCTCGCTCTGTCGCCCAGGCTGGAGTGCAGTAGCATGATCCCAGCTCACTGCAACCTCCGCCTCCCAGGTTCACGCCATTCTCCTGCCTCAGCCTCCTGAGTAGCTGAGACTACAGGCACCCGCCACC</t>
  </si>
  <si>
    <t>PDE6D_c.51-16341A&gt;G</t>
  </si>
  <si>
    <t>ACAGGCATGAGCCACCGTGCCCAGCCAACTTTTTTTTTAGAGATCTTGTGTGGTAGGAAAATAAATATTGGGCATCATGCCTGGCTAACTTTTGTATTTTCATAGAGACAGGGTTTCACCATGTTGACCAGGCTGgTCTTGAACTCCTGACCTCAAGTGATCCCGCCCACCTCTGCCTCCCAAAGTGCTGGGATTACAGGCTCGGCGTGAATCACTTTCATAAGCAATCAGCTTCCCCAGAATTGGGAGCCTATGACTGAAATCAGAATT</t>
  </si>
  <si>
    <t>PDE6D_c.51-16349C&gt;T</t>
  </si>
  <si>
    <t>CTGGGATTACAGGCATGAGCCACCGTGCCCAGCCAACTTTTTTTTTAGAGATCTTGTGTGGTAGGAAAATAAATATTGGGCATCATGCCTGGCTAACTTTTGTATTTTCATAGAGACAGGGTTTCACCATGTTGAtCAGGCTGATCTTGAACTCCTGACCTCAAGTGATCCCGCCCACCTCTGCCTCCCAAAGTGCTGGGATTACAGGCTCGGCGTGAATCACTTTCATAAGCAATCAGCTTCCCCAGAATTGGGAGCCTATGACTGAAA</t>
  </si>
  <si>
    <t>PDE6D_c.51-3074G&gt;A</t>
  </si>
  <si>
    <t>TAATCGCAGCACTTTGGGAGGCCAAGGCAAGCGGATCACCTGAGGTCGGGAGTTTGAGACCAGCCTGAACAACATGGAGAAACCCCATCTCCAGTTAAAAATACAAAAATTAGCCGGGCATGGTGGTGCATGCCTaTAATCCCAGCTACTCAGGAGGCTGAGGCAGGAGAATTGCTTGAACCCAGGAGGTGGAGATTGCAGTGAGCCAAGATCATGCCATTGCACTCCAGCCTGGGCAACAAGAGCGAAACCATCTCAAAAAAAAAACAA</t>
  </si>
  <si>
    <t>PDE6D_c.51-3081C&gt;A</t>
  </si>
  <si>
    <t>ACACCTGTAATCGCAGCACTTTGGGAGGCCAAGGCAAGCGGATCACCTGAGGTCGGGAGTTTGAGACCAGCCTGAACAACATGGAGAAACCCCATCTCCAGTTAAAAATACAAAAATTAGCCGGGCATGGTGGTGaATGCCTGTAATCCCAGCTACTCAGGAGGCTGAGGCAGGAGAATTGCTTGAACCCAGGAGGTGGAGATTGCAGTGAGCCAAGATCATGCCATTGCACTCCAGCCTGGGCAACAAGAGCGAAACCATCTCAAAAAA</t>
  </si>
  <si>
    <t>PDE6D_c.51-3083T&gt;C</t>
  </si>
  <si>
    <t>TCACACCTGTAATCGCAGCACTTTGGGAGGCCAAGGCAAGCGGATCACCTGAGGTCGGGAGTTTGAGACCAGCCTGAACAACATGGAGAAACCCCATCTCCAGTTAAAAATACAAAAATTAGCCGGGCATGGTGGcGCATGCCTGTAATCCCAGCTACTCAGGAGGCTGAGGCAGGAGAATTGCTTGAACCCAGGAGGTGGAGATTGCAGTGAGCCAAGATCATGCCATTGCACTCCAGCCTGGGCAACAAGAGCGAAACCATCTCAAAA</t>
  </si>
  <si>
    <t>PEX14_c.169+15719C&gt;A</t>
  </si>
  <si>
    <t>TGTGGAGTTCGAGACCAGCTTGGCCAACATGGTGAAACCCCGCCTCTACTAAAAATACAAAAATTAGCCGGGTGTGGTGGCAGGCACCTGTAGTCCCAGCTACTCAGGAGGCTGAGGCAGGAGAATCTCTTGAACaCGGGAGGTGGAGGTTGCAGTGAGCTGAGATCGTGCTGCTGCACTCCAGCCTGGGCGACAGAACAAGACTCTGTCTCAAAAAAAAAATAAGTTATACTGCATACTGCATACTTAGATGAAACATAAACATTTAAA</t>
  </si>
  <si>
    <t>PEX14_c.169+15750C&gt;T</t>
  </si>
  <si>
    <t>GTGAAACCCCGCCTCTACTAAAAATACAAAAATTAGCCGGGTGTGGTGGCAGGCACCTGTAGTCCCAGCTACTCAGGAGGCTGAGGCAGGAGAATCTCTTGAACCCGGGAGGTGGAGGTTGCAGTGAGCTGAGATtGTGCTGCTGCACTCCAGCCTGGGCGACAGAACAAGACTCTGTCTCAAAAAAAAAATAAGTTATACTGCATACTGCATACTTAGATGAAACATAAACATTTAAAAACTATCTCCGGGCTGGGTGTGGTGGCTCAT</t>
  </si>
  <si>
    <t>OGI1405_002600</t>
  </si>
  <si>
    <t>CDH23:c.-5-19535C&gt;T</t>
  </si>
  <si>
    <t>GCAATTTGTCTTTCTTCCTTTCTCTTTTCTAAAATACCAAATTATCTTTTTTTTTCACTTTTATTTTTGGGCAGGCAATAATAACATATGTAGAAAATTCAAAAGGCCCAAAGTGGAATCCAGTGAAACTCTTCTtTCCCACCTCTCTCCTCCAGACACCTAGGCTTCGCTCCCAGAAGTTGTCCTTTTCTGCTTTCTCAGTGTCCTCTCCAGTAGTCTATGCACACACATGATGATGATGGTGATGGTGATGATGATGGTGATGGTGAT</t>
  </si>
  <si>
    <t>ENST00000616684.4:c.-5-19535C&gt;T</t>
  </si>
  <si>
    <t>OGI1227_002379</t>
  </si>
  <si>
    <t>CDH23:c.-6+6008_-6+6023del</t>
  </si>
  <si>
    <t>TAGACTTCTGGCATTGCTGATTAGAACTGGCAACATTGTGTCCATGTTCCCAATCAACAGTTGAACAGTTGTTGGTTGGAGCTGAGTTGCCGGTACCCCTTTCATTTGCTTGCTTTCTCTTTCTCTTTCTTCCTTTCTTTCTTTCTTTCTTTCTTTCTTTCTTTCTTTCTTTCTTTCTTTCTTTCTTTCTTTCTTTCTTTCTTTCTCTTCCTTCCTTCCTTCCTTCCTTCCTTCCTTCCTTCCTTCCTTCCTTTCCTTCCTTCCTTCCTT</t>
  </si>
  <si>
    <t>ENST00000616684.4:c.-6+6008_-6+6023del</t>
  </si>
  <si>
    <t>CDH23:c.145+7950C&gt;T</t>
  </si>
  <si>
    <t>CCTCACTTTCCTCTTCTGCAAAATGGGAATAACGTTCAGTTTACCTCTTTGGGTTTATGTGAATATTAAACGAGCAAATTGTAAAACCCTTAGAACTGTGTCTGGCCCATAGAAATCCAAGCTGTAATTTAAACTtGCTCGCTTGCTTTTAAGCTCCTATAAACATATTTTCGAAAGGAAACTTTAATGTGTCAGACAAGCTTCCTGGTTGCCCGCTGAAGAAACTGCCTCTGGCTGTCCTTTCTATTGGAAGGCTGCTGGAGGCTCTTG</t>
  </si>
  <si>
    <t>ENST00000616684.4:c.145+7950C&gt;T</t>
  </si>
  <si>
    <t>CDH23:c.430-8460G&gt;A</t>
  </si>
  <si>
    <t>ACTACCATGCCCAACTAATTTTTTGTATTTTTAGTAGAGACAGGGGTTTCACCATGTTGACCAGGCTGGTCTCGAACTCCTGACCTCAGGTGATTCACCTGCCTCGGCCTCCCAAAGTGCTGGGATTACAGGCATaAGCCACCATGCCTGGCCTGTATTTTTTTTCCTCTGGAATTCCTATTAGTTGGAATGTTGGATATTCTGAACTGCTCCTCTAATTTTCTTACTTTTCTCTCCCATTTCATCCCTTTGAATTTGTTTCTACTTTTG</t>
  </si>
  <si>
    <t>ENST00000616684.4:c.430-8460G&gt;A</t>
  </si>
  <si>
    <t>OGI3581_005194</t>
  </si>
  <si>
    <t>CEP290:c.1190-1636A&gt;G</t>
  </si>
  <si>
    <t>GTGAGGATAGGAGAAGATGTTTCATAAGTTTGAGGAGAAAGAAGAGAAGTGAAAGTATAAAATGGTCATCTGAAAGATTGAAGACGTGGAGAATGTGGTATGACTGTTGAGTAACTTCAAGAGCCCACGATATATGTATGTATTTCTATTTATGTGTTTATTATATTTGTATCAGAACACTTTGAAAGTAGTTTAAACTGCTTTAAAAGGATGACTAATAGTATGGATTGTGCGTATTCTAATTACTAGGAGAAAAAGTGGCAATTGATC</t>
  </si>
  <si>
    <t>ENST00000552810.5:c.1190-1636A&gt;G</t>
  </si>
  <si>
    <t>PEX14_c.169+16042G&gt;T</t>
  </si>
  <si>
    <t>GAGGCCGAGACGGGCAAATCACGAGGTCAGGAGTTCAAGACCAGCCTGGCCAATGTGGTGAAACTCCATCTCTACTAAAAATACAAAAATTAGCTGGGCATGGTGGCGGACGCCTGTAATCCCAGTTACTCAGGAtGCTGAGGCAGGAGAATCGTTTGAACCTGGGAGGCGGAGTTTACAGTGATCTGAGATCACGCCATTGTACTCCAGCCTGGGCAACAGGGCAAGACTCCGTCTCAAAAAAAAAATCTGCTTTTTAGATTCATTTAC</t>
  </si>
  <si>
    <t>PEX14_c.169+27471C&gt;T</t>
  </si>
  <si>
    <t>AAAAAAGTTGGGCCGGGCGCAGTGGCTCACACCTGTAATCCCAGCACCTTGGGAGGCCGAGGCGGGTGTATCACGAGGTCAGGAGATTGAGACCACGGTGAAACCCCGTCTCTACTAAAAATGCAAAAAATTAGCtGGGCATGGTGGCGGGTGCCTGTAGTTCCAGCTACTCGGGAGGCTGAGGCAGGAGAATGGCGTGAACCCAGGAGGCGGGGCTTGCAGTGAGCCAACATCACGCCACTGCACTACAGCCTGGCGACAGAGCAAGAC</t>
  </si>
  <si>
    <t>PEX14_c.170-28663G&gt;A</t>
  </si>
  <si>
    <t>CTCCTGCCTCAGCCTCCTGAGTAGCTGGGACTACAGGTGCACGCCAACACGCCCAGCTAATTTTTGTATTTTTAGTAGAGATGGGGTTTCACCATGTTGGCCAGGATGGTCTTCGATCTCTTGACCTTGTGATCCaCCCGCCTCAGCCTCTCAAAGTGCTGGGATTACAGGCATGAGCCACTGCACCTGGCTCTGTTTTTTCATTGTTAAGTTTTCCATTTTCCCTCAAATGTCTGGTGATCTTTGGCTATCCAGTATTTATGACAGAGG</t>
  </si>
  <si>
    <t>OGI1450_002645</t>
  </si>
  <si>
    <t>CEP83:c.550-915T&gt;A</t>
  </si>
  <si>
    <t>TGTTTTTTTTTTTTTTTTTTTGCAGGGCCGGGGAGCTTACAGTGAGTCTTTGATGTTCATCCTGGCTACAAACAACCTCTTGTCCTGTTTTGAGCAGTGGTTTTCAACTTCTTCTTAACAAACAAAAAACCCAGCAGAATCATTTACTTAAGTTGAATCATTTGAAGAAACCCCAGAAAGAGACTAAAAATAGAAGCGTATGGTTAATGCCAGAAATTTGGTGGGGGTGGTGGTAGGGGATAGATAGTTGGGGAGATCAGGAAAGGGAAA</t>
  </si>
  <si>
    <t>ENST00000397809.9:c.550-915T&gt;A</t>
  </si>
  <si>
    <t>PEX14_c.298+6319G&gt;A</t>
  </si>
  <si>
    <t>AGACATCACTGTGGAGAGGGAACAGCAAAGGCCCGGGGCCAGGGTGGCCTGTGCGTAAGTGATACTGAGGTGACAGTAAACAGAAAGCATGCATGGGTGGCCTCGGGGTTCCCGTCAGAAAGCAAAATAGCAAATaTCGCCTCCACCTCTCTCTCTGTCTCTTCCATTTCTCTCTCATGCTTCCATTTCTTTCTCTGCTGGTTTAGCAGACAAATCTCTCTTTTTGCTACCTGAAAGTTACTGGTTTGTATATGAAGAAAGTATTTCTTT</t>
  </si>
  <si>
    <t>OGI1885_003262</t>
  </si>
  <si>
    <t>CLN3:c.1056+2099C&gt;T</t>
  </si>
  <si>
    <t>CTCTACAAAAAACAACAACAGGGTGTGGTGACATTCACCTGTAATCCCAGCTACTCGGGAGGCTGAGGCAGGAGGATCGCTTTAGCCCAGGAGTTCCAGGCTGCAGTGAGCCATAATCATGCCACTGTACCCCAGtCTGGGTGAGACCCTATCTCAAAAAAAAAGATTACACTTTCATATTATGGCAAAAGCATGTAAATATCCTCCAGCCTCCTTCCTTATTTATCTGAGCAGTGCTGCAAGCCCAGGGTTTGTACCCACAAAACCCCA</t>
  </si>
  <si>
    <t>ENST00000569430.6:c.1056+2099C&gt;T</t>
  </si>
  <si>
    <t>OGI1683_003010</t>
  </si>
  <si>
    <t>CPLANE1:c.5978+460C&gt;T</t>
  </si>
  <si>
    <t>TGAAATGCTTTTAATTCTCTCACAGAACAGACTCATCCGGTTCTTTTGAACAGAGTGCTTAGTGTTTAGAAATCTTGCCGAAATAGGAAAATATAGCACAGCTTTACCTCAGAAAAAAATTTTCATAGTTAGAATTGATCTCCTTGAGACCTGTTGAAAGCAAAGCCCAATAAACTTGTTTTAAAATGGGCAGATCTGTTTGTGCAAGGAGACCTTCTTCACAAAATGTTGTTGCGTCTGCATGAGTCCTCATACCCAGATCCGGCCCTT</t>
  </si>
  <si>
    <t>ENST00000508244:c.5978+460C&gt;T</t>
  </si>
  <si>
    <t>PEX14_c.299-1604C&gt;T</t>
  </si>
  <si>
    <t>GATGACAGATCCTTCGGGGGGAGGCAGAGCACCCGCCACGTGGCCTGGAGATGGCCGCTCCAGAAAGGTGTTCGCAGTGGAGACGGGGCTCTCCCGCGTGCCTTGGAGGATCAGATGAGGTTGTGGACGTGGGAGtACTTTGTGAACTGGGCATGGGAAAGAGTGAAGGTGGAAACTCTCCCCACGTCAAGTAGAATTGCATTCAGGAGGGCACTTTGCTATGTGCCGTTCTAAAGAGAATCGGCCGGGCGCGGTGCTGCTCGCCTGTAG</t>
  </si>
  <si>
    <t>PEX14_c.384+1268A&gt;G</t>
  </si>
  <si>
    <t>GGTGATCCGCCCACCTCGGCCTCCCAAAGTGCCAGGATTACAGGCTTGAGCCACCGTGCCCGGCTGGTGATTTTCTTTTTTAAACAACCTGAATGAGCACTCAGACTCGCCATGGTCACTCTTAGCACATGAAACgTGGTCAGCCATGGTATTCCAGATTCTTCATTTTTGATGTAATACAAAAGCTAATGACAGTTGTAGCAGAATATAATTTTTTAAGTGTAGCATGTATTCCTGGAGCTGGACATTTCCATGTTAGAAATTGAGAAA</t>
  </si>
  <si>
    <t>PEX14_c.384+1906_384+1915del</t>
  </si>
  <si>
    <t>CATCCTGGGTTGGCCCAGGTGCCGTGGCTCACACCTCTAATCCCAGTACTTTGGGAGGCCAGGGCAGGCAGATTGCTTGAGCCCAGAAGTTTGATATTAGCCTGGCCAACATGGTGAAACTGTGTCTCTACCAAAAAATAAAATAAAATAAAATAAAATAAAATAAATAAGCTAGGCATGGTGGTGTGAGCCTGTAGTCCCAGCTATACTCGGGAGGCTGAGGGTGGTGGGAGGATCACTTGGGCTCGGGAGGTGGAGGTTGCAGTGAAC</t>
  </si>
  <si>
    <t>OGI2030_003456</t>
  </si>
  <si>
    <t>EYS:c.-333+53530A&gt;G</t>
  </si>
  <si>
    <t>ATTCATAGAATTTAATTACCTAAATTTCAATTTTAGTTTTTAATTCTTGTTTTAAATTACTTGACCAAGAGATCAGTGTAAGAGCAGTGCATATTACCATATTAATTTGAAATTATCTACCTTTGTTGTTGTTCTGTAAATCCTTCTGTTCAGTTAAAAGCCTCTTCTGAAATTCTCTATGTGTATAGTTACAAGAGAAACTATTTTGATTAAAGTAAAATGAAGAAATTACATCCAACAAGATACCCTCTCTCCCAACCTCTCCTAATG</t>
  </si>
  <si>
    <t>ENST00000370621.7:c.-333+53530A&gt;G</t>
  </si>
  <si>
    <t>PEX14_c.385-423G&gt;A</t>
  </si>
  <si>
    <t>CAAGGGTCCCAGAAATGTGTTGTTGATTTTCCTTTAGTTTCTCCAGCGATGTTTTGTTTATTAATTTACTCGTTTGTTTCTGAATAGGTGATTCACTCACAGGTTCAAAATGTTCACAATTCAGGAGAACATGCCaGGAAGAGCTGCCCCGCCTCCCTCGCCTCCTGGAGGCTCCAGCATTATCTGTTGCTTGTGTGTCCATCCACATTTATATCTTACAACTTTGACAGTAGAGTTTATAACTTTGTGTTACAGAAATAGTGTAGCATC</t>
  </si>
  <si>
    <t>PEX14_c.585+1214G&gt;A</t>
  </si>
  <si>
    <t>GAAGAGGGTCCCAGGAATCTCCCCCCTGGATATCCAAACCACACACAGAGGTGCCACCTGCTCTTCCTCCTGGGATGGCTGTGGGTACTGGTGACCACCTCCAGCCACTGCAATGCGTGTTCTCCACGGGTGGCCaGTCCCTAAAGCACCAGGAAGCCCAGCGACAGCCCTGCCTGCTCTCCTGGGTCAGGTCATCTTTTGGATCCATGCTCTGCCTGTGGCCAGAAGCCATTCCGGAAATTGGAAAACTGTTTTCAGGCCTTACGCCTG</t>
  </si>
  <si>
    <t>PEX14_c.84+1748del</t>
  </si>
  <si>
    <t>CTCAGAGGAAAGAAAACACATAGCGGCAATTTATATATATATATAAAATAATAATTAAAAAAACCCCCGAAATAAACTCCCATCTCATTTGGGCTGATCCTATGAGTTGGGTAATTAGGGCCCTATTAAAAGGTAGCCCTTTCTCCTTCCCCCACTTTTTTGTTTATTAAATTTTTTATATTAAACTCCCACAGTCTCTCAGTCATGCCCTTATTGCTTTTGGCCAAGCATTTGCAGCAGCCTGATTAAACGGGGGCACCAGCTGAGTCG</t>
  </si>
  <si>
    <t>PEX14_c.84+9214G&gt;A</t>
  </si>
  <si>
    <t>TAGCCCCCAGTGGAGCAGGAGTCTGGATAAATTACCCCTGTCAGGAAGAAGACATGCTGCCACTTTTGTGACCTCTTGCCTTCACAGTGACCCTGGGGGCACAGCTCTCCTGTTTGTGTGCAGAGTGTGTGGGGCaGTGCTCTGGGTCAGCGATCATTCCCTTTACCCAGCTGTGTCTGCCAAGAGGCCTTTCTCTCTGTGTTGGCCCAGCCAGGCCCGTGGCAAGTGGGTCTTTAGGACCAGGGCCACTTTTTGCAGCCGTATGGTAGC</t>
  </si>
  <si>
    <t>PEX14_c.85-15490T&gt;C</t>
  </si>
  <si>
    <t>TTGGAGCAGAAAGAAACACCTAATTGCATCAAAACCACTCTAAGTTCATGTATGTGGAGCCCATCAAGCTGAAAGCATCCAGACAGCATCTGCTGTTATCAAATCACTCGTGAATCCAGCTAATTAAAATAGAGCcTCATTTTTCTGAACCATTGTTTGGCAGGAATTCGAAACGGGTCTAACCCAATTTCTGCATGTTTATGAGCCTTTATTATATCAGAGGTACTTTTCTGTAAATGTACAGGGCAGCGTTAAATGAATTGATCCACA</t>
  </si>
  <si>
    <t>WDR19:c.3184-2274T&gt;C</t>
  </si>
  <si>
    <t>GTGGCTCACACCTGTAATCCCAGCACTTTGGGAGGCTGAGGTGGGCGGATCACCTGAGGTCAGAAGTTCGAGACCAGCCTTACCAATATGGAGAAACCCCATCTCTACTAAAAATGTAAAATTAGCCGGGAGTGGcGGCATATGCCTGTAATCCCAGCTACTCGGGAGGCTGAGGCAGGAGAATCACTTGAACCCGGGAGGTGGAGGTTGCGGTGAGCCAAGATCATGCCATTGCACTCCAGCCTGGGCAACAAGAGCGAAACTCCATCT</t>
  </si>
  <si>
    <t>ENST00000399820.7:c.3184-2274T&gt;C</t>
  </si>
  <si>
    <t>WDR19:c.522+592T&gt;A</t>
  </si>
  <si>
    <t>TCAAGATTGATTAGCTCTTTCAGAGGCTCCCTCCTTATGGGAATTTGTATCGCCAGTAGCTACATAATGTGGCCAATGGGAAAATTTCACTTTGGACTACTGCTTATGATTTAGTATTGCTAGAGCAATATTGACaAACACATTCTTTGAATACCTGCTAGGCACATGGCACTGTGCTATATACTATAGAAAGAATATGAAATATGGCTCTGTATTAGCCAATCTATTGCTGCATAACAAATTAACCATTAATCAAAATGTAGAAGCTTA</t>
  </si>
  <si>
    <t>ENST00000399820.7:c.522+592T&gt;A</t>
  </si>
  <si>
    <t>WDR19:c.522+601C&gt;A</t>
  </si>
  <si>
    <t>ATTAGCTCTTTCAGAGGCTCCCTCCTTATGGGAATTTGTATCGCCAGTAGCTACATAATGTGGCCAATGGGAAAATTTCACTTTGGACTACTGCTTATGATTTAGTATTGCTAGAGCAATATTGACTAACACATTaTTTGAATACCTGCTAGGCACATGGCACTGTGCTATATACTATAGAAAGAATATGAAATATGGCTCTGTATTAGCCAATCTATTGCTGCATAACAAATTAACCATTAATCAAAATGTAGAAGCTTAAAACAACAC</t>
  </si>
  <si>
    <t>ENST00000399820.7:c.522+601C&gt;A</t>
  </si>
  <si>
    <t>WFS1_c.233-1890_233-1870del</t>
  </si>
  <si>
    <t>GGGCTGCCCTGCGGGACCTGATGCCATCTCTGAGCAGCGTCCTTGAGGACCCCGGCAAGGAAGCTGAGCCCGAAACTCTGTGCAAGAGTTGCGTCCAGGGAGAGTTACATCCAGGGAGAGTTACGTCCAGGGAGAATTCAGGGAGAGGGACATTCAGGGAGGAGTCTTCCAGGGACGGGGACATCCAGGGAGAGGGGCGTCCAGCGAGAGGAGCCTCTAGGGAGGGGTACATCCAGGGAGGTGGCCTGTCAGGGAGGGTGGTGTCCAGGG</t>
  </si>
  <si>
    <t>ENST00000226760.5:c.233-1890_233-1870del</t>
  </si>
  <si>
    <t>WFS1_c.712+209C&gt;T</t>
  </si>
  <si>
    <t>CGACTCCATCCTGGCCTGCCCTATCTCACCCGTGCCTCCCAGCCTGCGCCTGCAGGGCGACCTCTCCTTCCTGTGCGACCCCATCCTGGCCCTGCTAGGATCTCAGGCGGTCCGTTTGGGGCTCAGTGTTCTGGAtGCTGGGAGTAGACCCTGCCCACCTGGAGCGCACGCACTGGAGGGAAGGCAGACCCAGGACAGAAACCATGATGTGCCAGTCCCTCTTGGACAAGGAAATACTGGGGGTGGGGACTGGCGGGGGGGTCCTGAGTG</t>
  </si>
  <si>
    <t>ENST00000226760.5:c.712+209C&gt;T</t>
  </si>
  <si>
    <t>WFS1_c.862-2139T&gt;C</t>
  </si>
  <si>
    <t>TCCCTGGCCATCTCCTGGCAGTGTGAGCGCCTCTCTGCTCATGTAGAAGGTTGTTGACCCCAGAGAGAGCTAGGGGAGCTGTTAGCTGCTTTAATCGTTTATTTGCTTGTTATAAAACAGAGATTAAGTGGACTGcCACAAATATACATGAAGCAGCAGAGCTGTTCCCCCACGTGTAGACGTGCATGCACACACTCCTAAACACTTCCGTTTCTTCCATGAGCCTGTCCTTCTCATCTGTGGAAGGCTCAGTCTGTGTAGACATGCATG</t>
  </si>
  <si>
    <t>ENST00000226760.5:c.862-2139T&gt;C</t>
  </si>
  <si>
    <t>OGI1277_002463</t>
  </si>
  <si>
    <t>NR2E3:c.-404+2717T&gt;G</t>
  </si>
  <si>
    <t>TTCTGTTTATATGCTGGATTATATTTATTGATTTGCATATATTGAACCATCGTTGCATCCCAGGGATGAAGCCCACTTGATCATGGTGGATAAGCTTTTTGATGTGCTGCTGGATTCGGTTTGCCAGTATTTTAGTGAGGATTTTTGCATCAATGTTCATCAAGGATATTGGTCTAAAATTCTCTTTTTTGTTTGTGTCTCTGCCAGGCTTTGGTATCAGGATGATGCTGGCCTCATAAAATGAGTTAGGGAGGATTCCCTCTTTTTCTA</t>
  </si>
  <si>
    <t>ENST00000621736:c.-404+2717T&gt;G</t>
  </si>
  <si>
    <t>OGI1295_002487</t>
  </si>
  <si>
    <t>LAMA1:c.346-7387A&gt;G</t>
  </si>
  <si>
    <t>ACTATTGAGAGATTGTGGGAACAATGGCCCAGCATCCTAAGGAAGTCTTTGATCAAGATAAAAGTTAAGTAACTCCTCCCTTGAGAGCTTGTCCTGAAGTTTTTCACTACGGCTGTTCTTCCATTTAGTATCATTcTCTTATATATGACTAAGCTCTCAGAATAAAAGCTGGCAAAAGGTTGGTAAAATACTGGAACATGGTATTGAAATAATTATGGGCTGGGCCAGGCGCGGAGGCTCATGCCTGTAATCCTAGCACTTTGGGAGGCT</t>
  </si>
  <si>
    <t>ENST00000389658.3:c.346-7387A&gt;G</t>
  </si>
  <si>
    <t>CEP290:c.1711+458T&gt;C</t>
  </si>
  <si>
    <t>ATAATAAAACTTAGTAGTTTTTATGTTAATATATGTTACTCAACATTTTCCCTTTCCTTAAGGACTATGCATTGAAAAGCTTTTCTTGTAAGTTATTATTATTATTATTATTATTAATATTTGAGATGGAGTCTGCCTTGTTCTATTGCCCAGGCTGGAGTGCACTGGTGCGATCTTGCTCATTGCAACCTCCGCCTCCCGGGTTCTAGTGATTCTTGTGCTTCAGCCTCCTGAGTAGTTGAGACTACAGGCGTGAGCCACCACGCCTGA</t>
  </si>
  <si>
    <t>ENST00000552810.5:c.1711+458T&gt;C</t>
  </si>
  <si>
    <t>EYS:c.-332-23748C&gt;A</t>
  </si>
  <si>
    <t>AGTGTGATGGCATGTGCCTGTAATCCTAGCTACTCAGGAGGTTGAGGTGGGAGGATCACCTAAGCCGCGGGAGGTTGAGGCTGCAGTGAACTGTGAGCACTCCACTACACTCCAGCCTGGGTGACAGAGCAAGATATTATCTCAAAAAAAAAAAAAAAAAAAAAAAAATATATATATATATATATATATAGTTATTATAGTTTTTGCAAGTGTTCTCAGTCACCTGGCCAAGCATATTATAACAATGAATGCAGACTAATAGAGACCATA</t>
  </si>
  <si>
    <t>ENST00000370621.7:c.-332-23748C&gt;A</t>
  </si>
  <si>
    <t>IFT43:c.216-19333A&gt;C</t>
  </si>
  <si>
    <t>CTTCCTTTTTAAAAATGGTACAGTTGATAGAGTCTAAATTCCATGGAAAGCAGTCTATTTAAACTTTGACTTACTTTTTAAAATCATTTTAATTATTTTATTTTATATTATTATTTTTTTTGAGACGGAGTCTCCCTCTGTTGCTAGGCTGGAGTGAAATGGCGTGATCTTGGCTCACCGCAACCTCCACCTTCCGTGTTCAAGCGATTCTCCTGTCTCAGCCTCTGAGTAGCTGGGATTACAGGTGCCCACCACCATACCTGGCTAATT</t>
  </si>
  <si>
    <t>ENST00000238628:c.216-19333A&gt;C</t>
  </si>
  <si>
    <t>IFT43:c.216-20617C&gt;G</t>
  </si>
  <si>
    <t>GACATACTTTGCCAGCCTCCTCACTCCTATTGGAAAACCAGCAGTGCAGATCATGTAATTCAGGACTAGTTCTGGACCCCCAGTGTTTGGGAGCAATGCGGGGTCGGGGGAGCTCAGGTTCATCCACTGCACGTGCAGTATTGCCAGGCTAAAAAGTTAAACTAAAAAGTTAAGAGTCCAGAAATTTGGATTTTTATACAAAATCTCCCCATTTTGGCAATGAATTTACATTAAAACAGAACAAAACAAAAAATAGACAGCAGTATGGTT</t>
  </si>
  <si>
    <t>ENST00000238628:c.216-20617C&gt;G</t>
  </si>
  <si>
    <t>RPGRIP1L:c.85+1649C&gt;T</t>
  </si>
  <si>
    <t>GACACAGCACATGTTTCAGAGAGCACAGGGTTGCGGGGTAAGGTCACAGATCAACAGGATCCCAAGGCAGAAGAATTTTTCTTAGTACAGAACAAAATGAAAAGTCTCCCATGTCTACTTCTTTCCACACAGACATGGCAACCATCCGATTTCTCAATCTTTTCCCCACCTTTCCCCGCTTTCTATTCCACAAAACCACCATTGTCATCATGGCCCATTCTCAATGAGCTGTTGGGCACACCTCCCAGACGGGGTGGTGGCTGGGCAGAG</t>
  </si>
  <si>
    <t>ENST00000647211.1:c.85+1649C&gt;T</t>
  </si>
  <si>
    <t>ADGRV1:c.17857-11933C&gt;T</t>
  </si>
  <si>
    <t>GAAAGCCTACCACACTGTAAGAATACAATAAATGTTGATTACTTCCCTCCTCATTTAGTTGAGTCAAAATATTACTCAGTGTTCCCACAGCGTTCAATATTTTAGGACAGTTCTGGAATTTATATGCTTCTTTCTtCAATTCTGGTAATACTGGATTTTTTTGAAGGATCTAGTTTATTTTTATCAGTTTGCGAGTTTTTTGTTTTGTTTTGTTTTTTAACTGACCTACTCAGATAATGAAGACTCTTAACAATTCATAAATGTCTTGAT</t>
  </si>
  <si>
    <t>ENST00000405460.8:c.17857-11933C&gt;T</t>
  </si>
  <si>
    <t>OGI1353_002527</t>
  </si>
  <si>
    <t>USH2A:c.10387+637G&gt;C</t>
  </si>
  <si>
    <t>ATATTAATTTCTATGTACCATCTTGGCCCTGCTGAATTAGTCCAAAATGGTTATGCTTAGTTTTGGCTGAGCTGTGTGAGAAACACTGTTAAGTTTAGAATTATCTCTAAAACAGTTCTGCCATCAATTAAATTTCTGTTATTCATCCATTTACTTAAGTCCCTACAAAATGTGTTCTTGTTTTTTGAAAAATCAAGTTTGTGTGTGTGTGTGTGTGTGTGTGTGTGTGTGTGTGTATCATCTATCATCTTGATTCAATAGAATCCATTT</t>
  </si>
  <si>
    <t>ENST00000307340.7:c.10387+637G&gt;C</t>
  </si>
  <si>
    <t>OGI1400_002595</t>
  </si>
  <si>
    <t>CDH23:c.1134+12356G&gt;A</t>
  </si>
  <si>
    <t>GAATGGAGAAACTGAATGTGATGCCTTCATGCGGTGGGCCATTATTCAGCCATTGCAGGAGTGAATGAAGCACTGAGCTGCTACAGCAGGCATAGCCCTGGGAAACACAAAAGGCCACTTGGTGGATGATTTCACATGTGGGAAACATCCAGAAGAGGCAAATCCACAGACACGGGAAGCAGATTAGTGGTTGCCAAGGGTTGGGGGAGAGAAATGGGGAGTGATGCTTAATGGGCACAAAGCTTCATTTGTGGGGGACACAAAAATGTT</t>
  </si>
  <si>
    <t>ENST00000616684.4:c.1134+12356G&gt;A</t>
  </si>
  <si>
    <t>CDH23:c.1450-12724T&gt;C</t>
  </si>
  <si>
    <t>CATTAGTGAGCCGCATGTGCCAACCCAATCAGCACCCGCCAGTGACAGGCGTGGGGGGTGTCCTGCCAGGCACCAAGTCACCTTGGAGTGAGGACATGTCCCTGGAGCATAGGCAGTGACCAGCCTCCACCCAGGCACCTCTCTCCACCTTCCCACTAGACTGGGGGCTGCCTGACACCTGCGTATCCCACAGGGCAAGGGAGAGGAGGGAGGGTGTCAGACTTATGACTTGTGGTGGGGACACTGGGAAGATGCTGTCATGGTAGGAGG</t>
  </si>
  <si>
    <t>ENST00000616684.4:c.1450-12724T&gt;C</t>
  </si>
  <si>
    <t>CDH23:c.146-24244A&gt;G</t>
  </si>
  <si>
    <t>AGAAGCAGTGTGGGGTGGGATGGGCGTGGTTGCCAGGTAGGCACATCTGCCATTGTGGGTGGTCATGCTGGAGTCCCTTACTCCAGATGGGTGTCATCCTGCCCTCAGGGTGCTCCAATTCTATGACAAAGCCACGTTTGAACAGGAGGTTGTCCAGGCGTCTCAGTCTGAGATGCTCATGCCCAGCTGGCACTTGAGAAGCCACAGAGAAGTCTGACTTATCTTCCTGGGGGACTAATTTTATTTGCAAATGGATGGAGAAAGAAAAAT</t>
  </si>
  <si>
    <t>ENST00000616684.4:c.146-24244A&gt;G</t>
  </si>
  <si>
    <t>CDH23:c.429+26634_429+26635dup</t>
  </si>
  <si>
    <t>TGGCTTTATCCTAGGCCCCAAATCGACAGTGACAGTGGCCCTTGAAGGAGCCCTGAGTTTGGGCCCACGCTGTGTTAACTGAGTCAAACATCACTTCGTTTCCCTCTCCTGACTGTTTTTGCGATGATGGTGTTATTATATCATCTTATTTCACAAACAAAGAGACTGAGGCCAAGAACTGAAGCCGACTCCTCCCACTCACTCGGCTGGTATAGAGCAGAGCTGGGATTCAAGCCTATGGTTCTCCCACTCCCTCAGTAGGGAGCCCTG</t>
  </si>
  <si>
    <t>ENST00000616684.4:c.429+26634_429+26635dup</t>
  </si>
  <si>
    <t>CDH23:c.430-17762C&gt;T</t>
  </si>
  <si>
    <t>TTGAAAAACCAGCTCTGAGCCTGACTAGGCCTCTATCTTGGTTCAAGAGAAATGACTTCCTGCCTGCAATCACCATAACCGATAGCTCATGAGACAGAGACAGTAAATAATTGTTCCACAAGTTTCAAGAGCAAGTGTAATTAGTACAGTTAACAGTGTTAGGTGATTAATTGGTTCATTCAGCACCATTGTGAATGAGGCAGAGCGTAAGCAGGGGAGGGGCCAGAGCCCCCAGACACCCAAATGTGGATATGGCCCACTACTGATCAG</t>
  </si>
  <si>
    <t>ENST00000616684.4:c.430-17762C&gt;T</t>
  </si>
  <si>
    <t>CDH23:c.430-22629T&gt;A</t>
  </si>
  <si>
    <t>TGGAAGCAAGAGCAGGCTGTATTTTCCATCCCTTCAACCATCAGCTGCTTTAAAGGGCCAGCCTCGTCCTCGTGGGGCAGGATAGGATAAGGAGGCAGGCCTGAGCTTTTAATCAGAGTTATGTTAGATAAAGCTATTATTATTCACCTGGCTTTATTATAGCTCTTTCCTGAGGTTAGAAGCTAATTTTCCTGGTTTTTACCGAACTCTGGTCTGCTTGGCTGCCACAGATGCAGGAGAGGTGGACGGGAGTAGCGGAAAAAAGGGAGA</t>
  </si>
  <si>
    <t>ENST00000616684.4:c.430-22629T&gt;A</t>
  </si>
  <si>
    <t>EYS:c.2023+12298T&gt;C</t>
  </si>
  <si>
    <t>AGGTTATGAAATGAGACCACCGTAAAAATGAATAGCCACTTGAATAAAATTGGAGAAAAGTAGAGTTAACAGAGTAACTCTATTTTACTATTGGCATAGTAAAATAATCTCCATTAAAATCAGTAAAGAATGGGACTAGTGTTACAAATGTCAAGTCTATAATATGAGAAAGGAATTTAGAATATTTTAAATGTAAAAAAAATAGAAAAAATAAAAGATGTTATTAACAAATAGTCACGACAATGAACTGCCACCATATTGATAAATGTT</t>
  </si>
  <si>
    <t>ENST00000370621.7:c.2023+12298T&gt;C</t>
  </si>
  <si>
    <t>EYS:c.2023+18273A&gt;G</t>
  </si>
  <si>
    <t>TCATTGAGTGACATTTGCTTTTCTTCATATCCCATAACTTAATTACTATGATGGATAAGTCAGTTTGGTTTCATATGACAAAGTACCACAGACTGGGTGGCTTATAAAGCAGAAATTTATTTTTCACTGTTCTTAGGGATAGATGTTCAAAATGAGGGTGCCAGCATGATTGAGTTCAGGTAAGGGTTCTTTCCCGGAATGCAGACTGCTGACTCCTTGTATCCTCACATAGCAGAAGAGGAAAAAAAGTTTTCCGGGGCGCTTTTTTTT</t>
  </si>
  <si>
    <t>ENST00000370621.7:c.2023+18273A&gt;G</t>
  </si>
  <si>
    <t>EYS:c.2023+71410A&gt;G</t>
  </si>
  <si>
    <t>TTTCATTTCTTGATTTCATTTATCTCCACTCTAATCTTTATTATTTTCTTCCTTTCAGTTTCATGTTTAGTTTGCTATTTTTCTGATTCCTTAAGGTGTAACATTAGGTTGTTGATTTGAGATATTTCTTCTTTTGTAATGTAGGTACTTATTGATAGAAATTTCTTCCAAGTACTCCTTTACCGCAGTCTGTAAGTTTTGGCATACTGTATATCTTTTTCATTTGTCTCAACATATTTTTTTATTTAGAATTTACTTTGTGATTGCTGC</t>
  </si>
  <si>
    <t>ENST00000370621.7:c.2023+71410A&gt;G</t>
  </si>
  <si>
    <t>CDH23:c.430-5573A&gt;G</t>
  </si>
  <si>
    <t>GCGTCCTTCTTTTCTCTCTCTCTCCTATCTTCCTTTCTCTTGCTGCTTAATTTTTGTATGTCTTTTCCTCTGTTCATAAGTTTTCCTCTAGAATGTCTCTTTTTTTTCCTGTTTCAGTTAGTTCCTTTCTCCCCAGGTTTCCTTTCCTCCCTTTTCTCTCGCAAATTATCTTTCCACTTTATCCCGTTTTCACTCTGGCCCTCAGTCCTGCCCCTCTCACTGTTCTCACCGCATTTTCCTCTGTGTTCCTGTGCTCTTCCTTCTCCTTGC</t>
  </si>
  <si>
    <t>ENST00000616684.4:c.430-5573A&gt;G</t>
  </si>
  <si>
    <t>CDH23:c.5369-2102C&gt;T</t>
  </si>
  <si>
    <t>AGGTCACCTTCCCAACACTGCAGCCTGAGGCTGGAAGGCTGCTTTCTATAGGGAGACAGATGCCAGATTTCTGAGCACTTACCAGCCCCACTGAGCCCTTAGGAGGAGCTGTGTGCTCAAAGAAGAGCTGGGAGATAGGCCACATGCACTTGAGCCTCTCCCGCCAGCGCCTGCCTTCTCAGCTGCCCTTTCTGGTCACACCCATTCCTTGGACCCCTTTCCTACATCCTCACCCTCCCTGAAAGCTCCCCGTTCCTTCAGAGGCCTGCC</t>
  </si>
  <si>
    <t>ENST00000616684.4:c.5369-2102C&gt;T</t>
  </si>
  <si>
    <t>CDH23:c.6254-332_6254-331insTAT</t>
  </si>
  <si>
    <t>AGGAGTCTGCTGCATAAGAATCACTTGAACCTGGGAAGCAGAGGTTGCAGTAAGCCGAGATCACACCACTGCACTCCAGCCTAGGTGACAGTGTAAGACTCCATCTAAAAAAAAAAAAAAAAAAAAAAAAAAAAAATATAAATATATATATATATATATATATATGTCTCAAGTTGTCATAATTATGTGACTTGTATAATTGACAGAAAAATGGACAAAAGACAAAAGCAGACCATTTGCAGAAGATACAACTAATTATTACATTATAAA</t>
  </si>
  <si>
    <t>ENST00000616684.4:c.6254-332_6254-331insTAT</t>
  </si>
  <si>
    <t>CDH23:c.6254-333_6254-332insT</t>
  </si>
  <si>
    <t>CAGGAGTCTGCTGCATAAGAATCACTTGAACCTGGGAAGCAGAGGTTGCAGTAAGCCGAGATCACACCACTGCACTCCAGCCTAGGTGACAGTGTAAGACTCCATCTAAAAAAAAAAAAAAAAAAAAAAAAAAAAATAAAATATATATATATATATATATATATGTCTCAAGTTGTCATAATTATGTGACTTGTATAATTGACAGAAAAATGGACAAAAGACAAAAGCAGACCATTTGCAGAAGATACAACTAATTATTACATTATAAAA</t>
  </si>
  <si>
    <t>ENST00000616684.4:c.6254-333_6254-332insT</t>
  </si>
  <si>
    <t>CDH23:c.833-5360T&gt;C</t>
  </si>
  <si>
    <t>AGACGAGAGAGAGAGAGACGGAGTCTCACTCTATCACCCAGGCTGGAGTTCAGTGGCATGATCTTGGCTCACTGCAACCTCCGTCTCCCAGGTTCAAACAATTCTCCTGCTCAGCCTCCCGAGTAGCTGGAATTACAGGCACCTGCCAGCATGCCCGGCTAATTTTTATATTTTTAATAGAGATAAGGTTCACTGTGTTGGCCATGCTGGTCTTGAAATGCTGACCTCAAGTAATCTGTCCACCTCGGCCTCCCAATGTGCTGGGATTAC</t>
  </si>
  <si>
    <t>ENST00000616684.4:c.833-5360T&gt;C</t>
  </si>
  <si>
    <t>CDH23:c.8723-736G&gt;A</t>
  </si>
  <si>
    <t>ACCTCATCCAGTTACACAAGCAGACACCATCCCTTTGTCCTCTGAGCTCTCACTGCTCTTATTTTAATAAATCAAGGCACATAGAGGCTCAGTAGCTTGCTTGAGGTCACGCAGCTAGAAAGTGACAAATTTTGAACCCAATCTATTGTCTTTTAAGAGAAGACTATGCTGTACCACCTGACCATCTCTCTTCTATGGGTTTTGTTGTTTTCTTTTTCCTTTTTTTTTTTTTTTTTTTTTTTTGGTGATAGACTCTCACTCTGTTTGTTG</t>
  </si>
  <si>
    <t>ENST00000616684.4:c.8723-736G&gt;A</t>
  </si>
  <si>
    <t>ATF6:c.1719+9759A&gt;C</t>
  </si>
  <si>
    <t>GACTATTGTAGTTAGTTTATATACATATAAGAATAGAGTTTATGTTTTATGCTTGACAGATGTTCTAAAGGAAAATAAACAAGTCATTGTTCCTCCTCTGTATTGTTTTCTGTTTAAAGTAAAAGCATGGAGAACGTTGAACAGTTTTTGTTTATTTGCAGTAGGACTACAGAAAAGAAAAATAAAAGAGCGTATGGAATTAAAACCAGATTTTTGAAAAATCAAATCATATTTAAAGTACTGCTTGAGATATCAAAAGTCTTTTAAATC</t>
  </si>
  <si>
    <t>ENST00000367942:c.1719+9759A&gt;C</t>
  </si>
  <si>
    <t>ATF6:c.909+7051T&gt;C</t>
  </si>
  <si>
    <t>CCCACCTCCCCCAACCCCACGACAGGCCCTGGTGTGTGATGTTCCCCTTCCTGTGTCCAAGTGTTCTCATTGTTCAATTCCCACCTATGAGTGAGAACATGTGTGTTCGGTTTTTTGTCCTTGTGGTAGTTTGCCGAGAATGATGGTTTCCAGCTTCATCCATGTCCCTACAAAGGACATGAACTTATCCTTTTTTATGGCTGCATAGTATTCCATGGTGTATATGTGCCACATTTTTTTAATCCAGTCTGTCATTCATGGACATTTGGG</t>
  </si>
  <si>
    <t>ENST00000367942:c.909+7051T&gt;C</t>
  </si>
  <si>
    <t>CEP83:c.549+4569del</t>
  </si>
  <si>
    <t>TCTGGAGGCTGAGGCAGGAGAATCGCTTGAACCCAGGAGGTGGAGGTTGCAGTGAGCCAAGATTGTGCCACCGCACTCCAGCCTGGGTGACAGAATGAGGCTCTGTCTCAAAAAAAAAAAAAAAAAAAAAAAAAGTCATGCTTTTTCATGTGACTGTAAGAACATATTAAGTCTGGGACTTCATACAGGTGAAATGCTGAAGTTGCATATATAGTCATTATTCAAAAGTGGGACTATTTTGTTTTTATTATATTAGGACTCATATTTTCT</t>
  </si>
  <si>
    <t>ENST00000397809.9:c.549+4569del</t>
  </si>
  <si>
    <t>POC1B:c.1032+360A&gt;G</t>
  </si>
  <si>
    <t>TGAGAAATTAAATCTAAGGCCTCTGGTGACTGTGAAGTCTAAACTAGCTTTATATTTTAGGTGTGTTTAGGGAGGTCATGTGATGGCTGTCATGAGAATAAGGCTGGAGGGCAAGAATTTTTATAATGGTTATTGGAATAGGTAGCTTAAAACTCTTTTACAGCAAAAAAAAATCTTATGGACAGGTAAAAGAAGAGAGTTAGTGATTAAATCTAATAATTAAGACAATGTTATTGCCTGAATATATTTTGCATATATAGTTATCTATTT</t>
  </si>
  <si>
    <t>ENST00000313546:c.1032+360A&gt;G</t>
  </si>
  <si>
    <t>USH2A:c.15297+1176A&gt;G</t>
  </si>
  <si>
    <t>CACAAAAGGGCAGTGGGCCCTCCGAGGTCCACGGTTTGTGGTTTTTGTGGGAAGTAGCAATGGGACAATGACGTGGTGGTGGAGAAGCAAAGAAGGCACTGCCCAACACCATCAGGGCCTTGGCTCTCTACTCACGTCTGTCCCACTCCTCTACTCACTCATCCTCCTCGGAGCCTCCTTCCTCCCTGAGCCCATCAGACAAGCTCTAACCACAGGGCCATTACTGCTGCTGCTCCTTGGGTGGCTCACACTCTTGCTTCATTCACATCT</t>
  </si>
  <si>
    <t>ENST00000307340.7:c.15297+1176A&gt;G</t>
  </si>
  <si>
    <t>USH2A:c.2993+2107T&gt;A</t>
  </si>
  <si>
    <t>AGCTTTTTCACTTAACTTTTTTTCTTTAAGTGAGATCTGATTCCCTTCATTACACTGCTTCCTCTACCCTACAATGTTCTTAAATTCGTGGCTGAGCCTTTTACCCCATTCTGTTCCTCTCCCATTATCTACCCAACTCACTCTCACTCCCCACCTTACTTTAGTCCAGGAACAAGAATTGCTTAATAAGTACTGTTCCATCACCTGTCACTCTGCAGTAGGCCTGACTAGCACTGGAGCTAGATTCCCTGGGTTAGAAGGTGGATTTAA</t>
  </si>
  <si>
    <t>ENST00000307340.7:c.2993+2107T&gt;A</t>
  </si>
  <si>
    <t>VPS13B:c.2014-1983del</t>
  </si>
  <si>
    <t>ATTCTTTTGTTAGCCATGTCTGGTCTTCCAGTATGCCTGTCAAAGGGAAAAATGCTAACAAGGAGGTCTTACTCAGAAGGCAGCCCAAAAATTTGTATAAAATTTCCTTTAGATTGTTGGCTAATTCCTAAGCTGCCATGTGTAATGCAAGACTTCAGGAAACCCAGCAGAAAGCAAAGTATAAATTTGACTATTTGCATGGTGCTGTGTATCTACAATTAGAGTTCAGGCCCTGCCACATTAGCACCTGGGGCCTTCCTTTGAGACCTT</t>
  </si>
  <si>
    <t>ENST00000358544.6:c.2014-1983del</t>
  </si>
  <si>
    <t>VPS13B:c.5024+3722C&gt;A</t>
  </si>
  <si>
    <t>TTTTACACATTGATTTTGTATCCTGAGATTTTACTGAAGTTGCTTATCAGCTTAAGGAGATTTTGGGCTGAGACGATGGGATTTTCTAAATATAAAATCATGGTAGACGTGTTTTCTAGGAAGCCTTCCCTGAGACTGTCAGAAGACCAAGTTAAGTCTCATTTGTGTGTGCTCCTATCACATCACTTAACATATTTTATTCTAATTACTTATATAACTACCTCTGGGTCCTGAGGACAGAGATCATCGCCATCATGTTCATTGATTTAT</t>
  </si>
  <si>
    <t>ENST00000358544.6:c.5024+3722C&gt;A</t>
  </si>
  <si>
    <t>EYS:c.-447-7575T&gt;A</t>
  </si>
  <si>
    <t>GCCAATGTCTGCAATGGTTTTTCTGATGTTATATTCTAGAATCTTTATGGTTTCAGGTCTTACATTTAAGACTTTGATGCATCTTGAGTTGATTTTTATATAAGGTGAGAGATGAGGATCCAGCTTCATTCTTCAACATGTGGCTTGCCAATTATCCCAGCATCATTTGTAGAATAGTTTGTCCTTTCCCCACTTTATGTTTTTGTTTGCTTTGTCAAAGATCAGTTGGCTGTAAATATTTGGCTTTATTTCAGGGTTATATATTCTGTT</t>
  </si>
  <si>
    <t>ENST00000370621.7:c.-447-7575T&gt;A</t>
  </si>
  <si>
    <t>EYS:c.1766+8973G&gt;A</t>
  </si>
  <si>
    <t>CATTCAAGCATCTGGAAAAAATTATTTACAGTACATTAGACAAAATGATATTTTATAGGTACTCCTGTTAAATATAGCCAATGTAGTGCATGGGTTTCTATTTTTTCCAAAACCCATTAAAATTATGATCAAAGAGAACAAAGAGCATGGGAGAGGAAGCTATAGAATAAATAAGTGGATTACTCAACAACAAGAACACTGCTCTTTCATTAGCTTAATACTTTGACTATTTTGAGTTCAAGACAGTTTAAAATTAATAGGAGGCCTCTT</t>
  </si>
  <si>
    <t>ENST00000370621.7:c.1766+8973G&gt;A</t>
  </si>
  <si>
    <t>EYS:c.2023+15000_2023+15001insA</t>
  </si>
  <si>
    <t>GGCATGATCTTGGCTCATTGCAACCTCCATCTCCTGGGTTCAAGCGATTCTCCTGTCTCAGCTTCCCAAGTAGCTAGGATTACAGGCACACACCACCACACTCAGCTGATTTATATATATATATATATATTTTATTTTTTTAGTACAGACGGGGTTTCACTTTGCTGGTCAGGCTTGTCTCGAACTCCTGACCTCAGGCGATCCGCCCACCTTGGCCTCCCAAAGTGCTGGGATTACAGGCGTGAGCCACTGCGCCCAGCCAGGTGTTAT</t>
  </si>
  <si>
    <t>ENST00000370621.7:c.2023+15000_2023+15001insA</t>
  </si>
  <si>
    <t>EYS:c.2023+23694A&gt;G</t>
  </si>
  <si>
    <t>AATGACACTATTTTCAGCAGTTCAAAGAGCACTGATTGCCCATGGAATGATCTGGCAATAGAGATAAATAAATAGTCACCATTGGGTACTCCTAACCAACCACTTATAAGAAGCAAAGATCTCAGTGACTGAGTGTATGATACTTTTGAATATTTGTCTCAAATTTAGAAATATAAAGTAATTGGCTGATTTTTCCTAATGTTGCTAGACAGACTGGGAAAAGAAAAGGATGAGCTCAGGAATTTGAATTACCAGTTTAAGCGCATGTAC</t>
  </si>
  <si>
    <t>ENST00000370621.7:c.2023+23694A&gt;G</t>
  </si>
  <si>
    <t>EYS:c.2023+31003G&gt;A</t>
  </si>
  <si>
    <t>GTAAAAATCAATGCAATCTGTATTGCATTGTATACTAATGCAATAGAATATTGTTTATAAATAATATCAAAATAAATTATTTTAGATAAAATAAATAGAATAAGATATATCTACACAGATATATCTATGATAATATAAGTAAAAATCATTCCAAATATTTTTACTTTAGAATGTTGTGAGAATATTTTAATTTTTTTATATTTAGTAATTATGAGCAAAATTACATCAATAAGTTCAGTAAATAGTCTTTCATTGTTATCAATATGATAC</t>
  </si>
  <si>
    <t>ENST00000370621.7:c.2023+31003G&gt;A</t>
  </si>
  <si>
    <t>EYS:c.2023+4488C&gt;A</t>
  </si>
  <si>
    <t>CAGTGTATATCAATAAGATAAATATACAACCTCACTTTTTATGGCTTCGAAGTATTTATGTAACTGCATGTACCTAACTTGAAGAAAATTGCTAAATCAAAAAAAACATGTGAGTGGTTGTTGATTTGGTACAAACAAATTCTCTGTCCTCATTTACACTTCAACCAACAGTGTGCAGGAGGACCATTTGGTTTACACATTCACTATGCCAATTATTAATCATTATGGTTTTGACTTTCCTCCACTCTTAACATATCAGATTATATCTCA</t>
  </si>
  <si>
    <t>ENST00000370621.7:c.2023+4488C&gt;A</t>
  </si>
  <si>
    <t>EYS:c.2023+57115G&gt;T</t>
  </si>
  <si>
    <t>GCATTTGTTCATCTTCAGTTATGTTACCAAAATTTGGGTGTTTTATTTATTGGTATTTCTAATACTTTTAAATGAAATTTTGTGGAACAGGACATAAAAATATTTGGCTATTCCTACCTTTTGCCATTGAATAATATTTAAAACCAGCAATATATGGAAAGGTTTTGCTCTGAATTTTAATTTTCTTTTGAGAGGAGTTCAAGAATGTAACCATAAATTATGATTATCATGTTAGTCATAATAGCAATAACAACATTATGGTGGATCATT</t>
  </si>
  <si>
    <t>ENST00000370621.7:c.2023+57115G&gt;T</t>
  </si>
  <si>
    <t>EYS:c.2024-103319T&gt;A</t>
  </si>
  <si>
    <t>GGGAATCATAGGAAGTGACCAGAAAGTTAAGCAGTAGCCAACTCCTTATTGCTTACTGAAGATAAAATGAAAAGACTTACATGATAATCTAAAGAGTATAAAATATACACCAAAATTTGTGTCAAGACATAGATATTAAGTAGGTTATACCATGAAAACTTTGTGGCTTAGAAAAATCAGTGTAGATGTAGAAAAAGAGTGTAGATGAGAAGAGATAGAAGGTAGGGAGATATAAGAATATAAATAGATGAATGAGACCAAAAATTGAGG</t>
  </si>
  <si>
    <t>ENST00000370621.7:c.2024-103319T&gt;A</t>
  </si>
  <si>
    <t>EYS:c.2024-28817A&gt;G</t>
  </si>
  <si>
    <t>AATTCTGTGAACTAATTCCACTGACTCGTTTTACCAGTATCGCATAATCTAATTGCTCTTTCTATATAAATGATGTTTTCTTCAGTTTAAAACAATTCAATCCTTATTTCTCCTTTTAAGCTTTTGGAAATAATGTCTCTGCTTCCATTCCCTTTTCATTCCCATTTGTATTTTCTGTTTTGCGTTTGTTTCCATATGTGATCTATGCTATACACATCCCCCCAAAAAGGAAAAAAGAAACCATGAAAGCCTAAAATTTTGACCAAACAT</t>
  </si>
  <si>
    <t>ENST00000370621.7:c.2024-28817A&gt;G</t>
  </si>
  <si>
    <t>EYS:c.2138-27249G&gt;A</t>
  </si>
  <si>
    <t>CTTTTCTTGGAAATTTAAATGTGAATTAGCATTTCTCAAAATATAGTGATGTTTTTCATACATAAGAAGAGTTTCATTATATGAGAATAAGGTAGAGGTATTTATCTGCTTCTATTTGATTCAATTTTAGGCTTATACCTAAATTCACTACCCTTAATCACCCTAGTTGTGGATTTATGCCATGAAATTGCTGAAACTAATCATTTGACTGATGATAGTCCTCAGTGAAAGCTTAGAGGTATAGCTGACCTTTTTCACGGTTATTTAAAA</t>
  </si>
  <si>
    <t>ENST00000370621.7:c.2138-27249G&gt;A</t>
  </si>
  <si>
    <t>EYS:c.2259+20546C&gt;T</t>
  </si>
  <si>
    <t>CTGTAATCCCAATAATTTGAGTGGCTGAGGTGGGCAGATCATTTGAGATCAGGAGTTCAAGACCAGCCTAGCCAACATGGCAAAATCCCATCTTTACTAAAAATACGAAAATTAGGCAAGCGTGGTGGCATATGTCTCTAATCCCAGCTACTAGGGAGGCTGAGACAGGAAAATCACATGAACCCAGGAGGCAGAGGTTGCAGTGAGCCGATATCATTCCACTGCACTCCAGCCTGGGTGACAGAATGAGACTCCGTCTCAAAAAAAATA</t>
  </si>
  <si>
    <t>ENST00000370621.7:c.2259+20546C&gt;T</t>
  </si>
  <si>
    <t>EYS:c.3443+41455G&gt;A</t>
  </si>
  <si>
    <t>TTCCATGTGAAAAACTACTAAATGAAACAGGATATTTCTTATTATATTAACATTTTGAAAAATAATAAAGCAGTATCTATTTACACGAGAGATGAAAAAATGTTTAAAATACAATCAAATAGGAACTTCTCTCTAAATACAAAAGATAGATTAAAAACAATAAGAACACAGAATATCTGCATAATGCAATGAGGTGACTAGTTCTTACATTTAGAACATTGCATACAGCAGACAAAAAGGGAGCCTTCTTTTGAGACATGAATAAACTCA</t>
  </si>
  <si>
    <t>ENST00000370621.7:c.3443+41455G&gt;A</t>
  </si>
  <si>
    <t>EYS:c.5644+73136A&gt;G</t>
  </si>
  <si>
    <t>TAATTTGTGAGGTTCTATTCATAATTATTTGGCCCTATCTGCTCATTACTAAACCCAGAAAAACTATTCTTGTACTATATTACTTAGACCAGGATAACTCCAAATTAATGACTTTCAAGATATGACAGTATATAGTCTTATAAATGAAAAAGTGAATATTTTTAACGTTTCTCCAATAAACCTGAAAGAGTATTCTTTTCACAGATATTTATGCTGTGCTAGTATTAAGAGATATCTTTAACAAAGCATGACTTTGCCATCAACATAAAT</t>
  </si>
  <si>
    <t>ENST00000370621.7:c.5644+73136A&gt;G</t>
  </si>
  <si>
    <t>EYS:c.5645-23543A&gt;G</t>
  </si>
  <si>
    <t>GCTTGCAGTGAGCCCGAGATCTCGCCACTGCACTCCAGCCTGGGCAACAGAGCGAGACTTCATCTCAAAAAAAAAAAAAAAAAAAAATTAAAGCTGAGAATAAGCTATACTTGAAAGCAGTTCTGTAGAGAAGTGGAAAAGAATTTTGATAGCTTTTTAAACGAAAGATATAGAATAATTAAAATTAGCATTCCAGTTAAAGATAATGAAATAATTTACATAGATTTACCTGTACTCCCTCCTGAAATCCCGCAAATAATTAGTAAAATA</t>
  </si>
  <si>
    <t>ENST00000370621.7:c.5645-23543A&gt;G</t>
  </si>
  <si>
    <t>EYS:c.5645-24929C&gt;T</t>
  </si>
  <si>
    <t>AAATGTAAAGCACCCTAGTCTTGTTCCTGATCTAAGAAATGTGAATGTGAGAGCTTATAACTTTTCACATTCTGATATTAGCTGTAGGTTTATCATCTATAGTTTATTTTGCTTTGAGATGCATTCCTTCTATATGTAATTTGCTGAGAGTTTTTTATCACGAAGGAATGTTGAGTCTTGTCAAATGATTTTTTTGCTTCTATTGAGATGATCACATGATTTTTGTCCTTTGTTCTGTTAATATAATGTATCACAATTGTAGATTTGGGT</t>
  </si>
  <si>
    <t>ENST00000370621.7:c.5645-24929C&gt;T</t>
  </si>
  <si>
    <t>EYS:c.5645-41601A&gt;G</t>
  </si>
  <si>
    <t>AATAAGTCATATTTAAGGAAAACTGTTCACCTGAAATATTGGACTTTTTCAAAAACTATAATTGTGAAAAGAGTAAAGGATAATAGACATCAAGGTTATTTGTGAAAATGTGGTATATTCTGACTTTAATTTGAGTCAATACCTGAAAAAAAAGTCTTGGAAAAGTCTGATGACAATAATCAGTGTAACTACAACATAACTTGAATGAATACATATTTTTTTGTTTAACCTGATGTCCAGCAAATTAAAATGTATGTTGTAGCTTATAGT</t>
  </si>
  <si>
    <t>ENST00000370621.7:c.5645-41601A&gt;G</t>
  </si>
  <si>
    <t>EYS:c.2024-51802C&gt;T</t>
  </si>
  <si>
    <t>TTTTTTTATGTAAGGAGTTGTAAAAGTGAAGTAAGGAAACCAGGATTTGTTAAAAAGAATGGGGAAATGTTTAAAAGGGAAAGAGCCAAAGGGGGGGCTCTCAAAACTTTACCTTCTCACATGCCCAACTAATACTTTAAGCACACGTGCAGAAAAGACTCAAGACAACTCTTGTAATGACAAATGTATGAAATAATATAGGAGCTACCGCCCAAGTAAAAAAAGGTTTGCAGTTCAATCCTACCAAAACAAACAAACAAAAAATTCTAC</t>
  </si>
  <si>
    <t>ENST00000370621.7:c.2024-51802C&gt;T</t>
  </si>
  <si>
    <t>EYS:c.5928-14523dup</t>
  </si>
  <si>
    <t>AATCCCAGCTACTTGGGAGGCTGAGGCAGGAGAATTGCTTGAACCCAGGAGGCGGAGGTTGCAGTGAGCCAAGATTGCACCACTGCACTACACCCTGGGTGACAGAGCGAGACGCCATCTCAGAAAAAAAAAAATTACTTTGTTTTTTTTATCCTTTTAATGATTAAGAAAAATAAAATTTCAGACATATTTTGTGAATATTCATAAATTGTCAAGTACCATATTTTTAAATATTTTTACACAATTTTGCCAAATAATATAAAATATAAA</t>
  </si>
  <si>
    <t>ENST00000370621.7:c.5928-14523dup</t>
  </si>
  <si>
    <t>EYS:c.6191+6469G&gt;A</t>
  </si>
  <si>
    <t>AAATGGGCGAATTCCAGGGGCTGTTTGATTGTTCCATATGGCTGGCTTTTAATTGCTCCTCAACTAATTCATGGGCTCTTTTTAATTTCTCTCCCTCCAGCAGTTACTGTTTTACTTAAATGGGATTTGGAGTCATTTTAGGAGTAAGGGAGAAATAACAACAGTGGCCATTATCAGAAAGAGGTCTTTTAAATTCTTCAATTTTACTTATATCTTAGCAGAGAATTATACTCTGGGATGTCGCTTGTATACAAGAAACACAAGAAATTT</t>
  </si>
  <si>
    <t>ENST00000370621.7:c.6191+6469G&gt;A</t>
  </si>
  <si>
    <t>EYS:c.6192-6045G&gt;A</t>
  </si>
  <si>
    <t>CTTATAAGAGTTTATGATGCCAGGATCTGGGGGATAGAAGAAATGGGGAGATTTTTGTCAAAGATACAAAGAAAAAAGAATGTTTGTTACATACATATAAATGTGCCATGTTGGTGTGCTGCACCCATTAACTCATCATTTACATTAGGTATCTATCCCGGCACATTGTGAACATGTACCCTAGAACTTAAAGTATAATAAATATATACATATATAAAAATAAAAGATAAAAAATTAAAAAATTAAAAAAACCTGAAAGAAATAGAAAGC</t>
  </si>
  <si>
    <t>ENST00000370621.7:c.6192-6045G&gt;A</t>
  </si>
  <si>
    <t>EYS:c.6424+1798G&gt;A</t>
  </si>
  <si>
    <t>CCCTCTAAGCCATCATTTCTCTCTGTCCCACTGAATCTCCAATTCTCTCTCCTTTAACTCTTTACCTAGTATCTTTAACACTTCATAGAGTAACTGTATTTTCTTCCAGAAAAAAACAATGGAGGATTTTTGGAATTAAGCAAGGTTTCACGGAGGTTTAATTGTATTTGATGTTTTGGTGGCAGAATATAGGAAAGTGACCTCAGGAAAAGAATTGGAAATCTATCCTATTTTTGCTGTAGAAATTATGTTTTCATATTATTAATCATT</t>
  </si>
  <si>
    <t>ENST00000370621.7:c.6424+1798G&gt;A</t>
  </si>
  <si>
    <t>EYS:c.6424+39109G&gt;A</t>
  </si>
  <si>
    <t>ATCATTCTCAGTAAACTATCACAAGAACAAAAAGCCAAACACCGCATATTCTCACCCATAGGTGGGAATTGAACAATGAGAACACATGGACACAGGAAGGGGAACATCACACTCTGGGGACTGTTTTGGGGTGGAGGGGGAAGGGATAGCACTGGACGATATACCTAATGCTGGATGACGAGTTAGTGGGTGCAGCGCACCAGCATGTCGCATGTATACATATGTAACTAACCTGCACATTGTGCACATGTACCCTAAAACTTAAAGTAT</t>
  </si>
  <si>
    <t>ENST00000370621.7:c.6424+39109G&gt;A</t>
  </si>
  <si>
    <t>EYS:c.748+1264T&gt;C</t>
  </si>
  <si>
    <t>CTTGTGGAAGAATTTATTTGAGGGTTTGACAGACCTGGCATGGAGAGTTACAAGTGAAATAAGACCACGATGATCTAACAAAGAGAAATATTTGACACAGCTGATAATAATAGTATACGAAAACAGCAGATTGGCATGTATTTTGGTCATAAAAGAGGAAGGAAGGTTAAAGCAGAGCTATATCTAGAGCAGATCACCTGCAGGGATTTAACTGTAATTTTGTTAGGCAGGCTTTAGGGGGATTCCTTCTCCCCTGTGCCTGAGGCTGAC</t>
  </si>
  <si>
    <t>ENST00000370621.7:c.748+1264T&gt;C</t>
  </si>
  <si>
    <t>EYS:c.2992+10199T&gt;C</t>
  </si>
  <si>
    <t>TTAGCACTTCCTAATAAGTCTGTCACTTAACTGTTTATTTTCTCTCTTACTACTTGAATTAAATCTCCTTGAACACAGGAATTTCTCTCTTTTGTTCATTATTTTATTGCAGTACCTACAAGAGTGCCTAGGACACTAAAGGCACACAAAAATTTTTAAAATAAAATCATATTTCACTTCAAGTAAGTTAATTTTTTAATTGTATACAATTTAAACTTTTTGAATGTTAACACATGTAACTGCTTAGTGATTATAGTTTTTCATAAAGTG</t>
  </si>
  <si>
    <t>ENST00000370621.7:c.2992+10199T&gt;C</t>
  </si>
  <si>
    <t>EYS:c.7899-5987A&gt;G</t>
  </si>
  <si>
    <t>TGATAGAATGATTTATATTCCTTTGGGTATATAGCCAGTAATGGTATTGCTGGGTTGAATGGTCGTTCTAAGTTCTTTAAGAAATCTCCACACTGCTTTCCACAATGGCTGAAGTAATTTACATTCCCACTAGCGATGTGTAAGTGTGCCCTTTTCATTGCAACCTCACCAATGGCTGTCATTTTTTTTACATTTTATAATAGCCATTCTGATTGGTGTGAGTTGGTTTCTCATTGTGGTTTTGATTTGCATTTCTCTAACGATTAGTGA</t>
  </si>
  <si>
    <t>ENST00000370621.7:c.7899-5987A&gt;G</t>
  </si>
  <si>
    <t>EYS:c.1460-1651G&gt;C</t>
  </si>
  <si>
    <t>CCAGAGCCCACCTTAGTATCAGATTCTCAGATGCTTTTTAAACCCAGAGCATCTCAGTATTTCTGCTAGTCCAATTTTTTTTTCATAATTATATCCCCTCATTTGTGTTTTGGCTGTAGCCTTTCTGCTAATTTACTCAGTGTATCATTTTTTTTCATCTTCTCACTCTTTTTTGTGGGTTAAAACGTTTGTTTTATTTATTTTTTTAATTCTCTGTTTTTTTGAGGTCTTGGGAGGCAGAGGGAAGACGTTAAGAGTTAAATCCTAATG</t>
  </si>
  <si>
    <t>ENST00000370621.7:c.1460-1651G&gt;C</t>
  </si>
  <si>
    <t>ABCA4:c.5461-591T&gt;A</t>
  </si>
  <si>
    <t>GCTATGCTGGCCTCGTACGCCTCGATGTCCCTTCTATTTTCTCAGGGGAGGCTCTGCCCAACATGCCAAGTCCGACCACTTGAAAACAAGTCCCTGGCTTAACACAGACCCCAGAGAGAGTCTCCAACCCTCCTCACCCTAGACAATGGTAGTTGCCCTGTGAGGGGCTGAAAAGCAGAGCTGGAGATGGCTCAGGGCCTGGTGTTAACAAATGCCTTGAGGGCTCCTGTTGTTTCAAAGTGAGTCTGCAGGGAGAGCTCCCTAAGTGGA</t>
  </si>
  <si>
    <t>ENST00000370225.3:c.5461-591T&gt;A</t>
  </si>
  <si>
    <t>USH2A:c.10939+2141A&gt;T</t>
  </si>
  <si>
    <t>ATCTGAAAGATGAAGAAGAAAGCCAACCTACTCAGCGTATCCAAGGCATTCACTGCCTGTATCTGAAAGGAAATCAGAATATCATTTCGTTCTCCCAAAAATGAATTGCCAGCTTGCAGTTTTCCAGATAGTACTCTAAGTGGTCTAAAATAAGACTGCTGCTCTTAAGATCCTCTCACGTACAGGGAAGACTGACAAGAAAAGAAATAACTGAAAACAGAGCTCTATACAGGATGCAGTGGTGAAAAATCAAATGAGTCACTTGGAGTA</t>
  </si>
  <si>
    <t>ENST00000307340.7:c.10939+2141A&gt;T</t>
  </si>
  <si>
    <t>USH2A:c.10939+2143T&gt;C</t>
  </si>
  <si>
    <t>CTGAAAGATGAAGAAGAAAGCCAACCTACTCAGCGTATCCAAGGCATTCACTGCCTGTATCTGAAAGGAAATCAGAATATCATTTCGTTCTCCCAAAAATGAATTGCCAGCTTGCAGTTTTCCAGATAGTACACCAAGTGGTCTAAAATAAGACTGCTGCTCTTAAGATCCTCTCACGTACAGGGAAGACTGACAAGAAAAGAAATAACTGAAAACAGAGCTCTATACAGGATGCAGTGGTGAAAAATCAAATGAGTCACTTGGAGTAAG</t>
  </si>
  <si>
    <t>ENST00000307340.7:c.10939+2143T&gt;C</t>
  </si>
  <si>
    <t>USH2A:c.11712-2476C&gt;T</t>
  </si>
  <si>
    <t>GTGTTCCTAGCAAACAACTTTTTAAAAATCACTGAGAAGAGTCCTTGGCTATGAGCCCTGCAGTTCTCATTAGAATGGATCTCTCCCAATGACACACCTGGTACCTGATATCTGTAGCAAGTACAAAGGCCAAATCCTGCAAACCTTCACTGAGTGCAGAATCTGGTTCACGCATGGTAGTGAGCAATAATGAGGTGGGCTGCCGAACCATAATTGCAGGTGACTGAGAGGTGTCTATGAAGCCTCTATAGCTTCCAGCATGAAGCTTGT</t>
  </si>
  <si>
    <t>ENST00000307340.7:c.11712-2476C&gt;T</t>
  </si>
  <si>
    <t>USH2A:c.12067-20175G&gt;C</t>
  </si>
  <si>
    <t>CAAATAGACACAGTGAATAATGACAAAGGGAATATCGCTACTGATCCCACAGAAATACAAACTACCATCAGAGGATACTATAAACACCTTTACATAAATAAACTAGAAAATCTAGAAGAAATGGATAAATTCCTCGACACATACACCCTCCCAAGACTAAACCAGGAAGAAGTTGAATCTCTGAATAGACCAATAACAAGTTCTGAAATTGAGGCAGTAATTAATAGACTACCAACCAAAAAAAGCCCAGGACCAGAAGGATTCACAGCC</t>
  </si>
  <si>
    <t>ENST00000307340.7:c.12067-20175G&gt;C</t>
  </si>
  <si>
    <t>USH2A:c.12067-21037A&gt;G</t>
  </si>
  <si>
    <t>GAACAAGAAGAGCTAACTATCCTAAATCTATATGCACCCAATACAGGAGCACCCAGATTCATAAAGCAAGTTCTTAGAGACCTGCAAAGAGACTTAAACTCCCACAGAATAATAGTGAGAGACTTTAACACCCCGCTGTCAATATTAGACAGATCAACGAGACAGAAAATTAACATGGATATTCAGGACTTGAACTCAGCTCTAGCAGATCTAATAGACATCTAACAGACCTAATAGACATCTACAGAATTCTCCACCCCAAATCAACAG</t>
  </si>
  <si>
    <t>ENST00000307340.7:c.12067-21037A&gt;G</t>
  </si>
  <si>
    <t>USH2A:c.12067-21090del</t>
  </si>
  <si>
    <t>CAAAGATCAAAAAAGACATAGAAGGGAATTACATAGTGGTAAAGGGATCAATGGAACAAGAAGAGCTAACTATCCTAAATCTATATGCACCCAATACAGGAGCACCCAGATTCATAAAGCAAGTTCTTAGAGACTGCAAAGAGACTTAAACTCCCACAGAATAATAGTGAGAGACTTTAACACCCCACTGTCAATATTAGACAGATCAACGAGACAGAAAATTAACATGGATATTCAGGACTTGAACTCAGCTCTAGCAGATCTAATAGA</t>
  </si>
  <si>
    <t>ENST00000307340.7:c.12067-21090del</t>
  </si>
  <si>
    <t>USH2A:c.2809+4537A&gt;C</t>
  </si>
  <si>
    <t>AGATGGGGTTTCACCGTGTTAGCCAGGATGGTCTCGATCTCCTGACTTCGTGATCTGCCTGCCTAGGCCTCCCAAAGTGAGGAATTATATTATTATTGTAGTTATGCAAGTTGAATAAGGTAATCCTTGCCCTCCAGATATTGAAACTTTAACAAGGGAAATAAGACATTTGCACAAGTAAATAAAATACGATAATACTTTAAATGTGATCATTGTTTTTCAGTATTAGTGTTGATGCCCATTCTACATCTTCCTCTAAAGAAAAGAAGA</t>
  </si>
  <si>
    <t>ENST00000307340.7:c.2809+4537A&gt;C</t>
  </si>
  <si>
    <t>USH2A:c.4251+2373T&gt;A</t>
  </si>
  <si>
    <t>CTACTGGTAACTCATCGCAGTTCACCACTAATGGAAGTTTAAGCATTGCACCACTAGGGCATGCTGTGGACTGTTAGTACTCTACCTGCTGTCTATGATGAGATCATTGTAAACCAGCAAGTGGATGATGGAGCACCAAAATATCATTTTAGAGTCTCCTTCCTAGGGCCAGTCCTGTTACGACTATCTTAGGGCAAATTCCCCCGGAAGCAGACTCTTGGTAGAGGACTGAGTACAGGAGGTTTATTGGGGGAACTCTTTCAGAAACAA</t>
  </si>
  <si>
    <t>ENST00000307340.7:c.4251+2373T&gt;A</t>
  </si>
  <si>
    <t>USH2A:c.4251+2374C&gt;A</t>
  </si>
  <si>
    <t>TACTGGTAACTCATCGCAGTTCACCACTAATGGAAGTTTAAGCATTGCACCACTAGGGCATGCTGTGGACTGTTAGTACTCTACCTGCTGTCTATGATGAGATCATTGTAAACCAGCAAGTGGATGATGGAGCTACAAAATATCATTTTAGAGTCTCCTTCCTAGGGCCAGTCCTGTTACGACTATCTTAGGGCAAATTCCCCCGGAAGCAGACTCTTGGTAGAGGACTGAGTACAGGAGGTTTATTGGGGGAACTCTTTCAGAAACAAC</t>
  </si>
  <si>
    <t>ENST00000307340.7:c.4251+2374C&gt;A</t>
  </si>
  <si>
    <t>USH2A:c.4251+2375C&gt;A</t>
  </si>
  <si>
    <t>ACTGGTAACTCATCGCAGTTCACCACTAATGGAAGTTTAAGCATTGCACCACTAGGGCATGCTGTGGACTGTTAGTACTCTACCTGCTGTCTATGATGAGATCATTGTAAACCAGCAAGTGGATGATGGAGCTCAAAAATATCATTTTAGAGTCTCCTTCCTAGGGCCAGTCCTGTTACGACTATCTTAGGGCAAATTCCCCCGGAAGCAGACTCTTGGTAGAGGACTGAGTACAGGAGGTTTATTGGGGGAACTCTTTCAGAAACAACA</t>
  </si>
  <si>
    <t>ENST00000307340.7:c.4251+2375C&gt;A</t>
  </si>
  <si>
    <t>USH2A:c.4396+613_4396+614del</t>
  </si>
  <si>
    <t>ATCCATGGGAACATCTAGAAATTACTGTGTGGCCTGGTGTTATATTTGGCTTTCATGAAATAGGTAAATGTTTATCTATTGTTTTATTAAGAAGAAGCTTTTAAGTTAATAAAATTTAAATAAAAGAATTGTTAAAGTATAATCTGAGTAGAAATGGTTTGTATAATTTGTGCTTGCTTCATTCAGGACTAACTGGATTCATACAAACCTGATTACATGTATTAGTAAGACTTATAAAACCCAATTATTTAGCATTAATATATTTTCAAA</t>
  </si>
  <si>
    <t>ENST00000307340.7:c.4396+613_4396+614del</t>
  </si>
  <si>
    <t>USH2A:c.6049+8951G&gt;T</t>
  </si>
  <si>
    <t>AAAAGCAAAGAAAATTATTAAAAATGAATATCAACTAAGATAACTGAAGAAAACAGAATAGTGAAGCAGAATATTTACCATTCATGAATTTGTCTATCAGAGGATTAAATGAGATAAATCCCAGTTGCAATGGATAGTCCAAGGGTTAACAGGCCCGCTCAGGAGCAAATGGGCCCCTTTGGGCCACAGGGTCTAGATTCTGTGCCCTCCCAAGGCCAAGGTTCAGAGCAAGGAGTTCTTTAAGGTTCATTCCCTCAGCCAGAGCCTCAG</t>
  </si>
  <si>
    <t>ENST00000307340.7:c.6049+8951G&gt;T</t>
  </si>
  <si>
    <t>USH2A:c.6325+13049C&gt;A</t>
  </si>
  <si>
    <t>AACACTACATTGGTTTTCTATTTCTGTTGGTTTGTTTTGTGAAATACCACATGCCTTTTCCTACATGCAGACTTTTGAACTTTCTGTTCACTCTGACTGGAATTTACTTTCCCCAGTTCTTTACATGGCTGAATAATTGTCTTCCTTGAGTTCTCAGATCTTATAAAACCTTCTCTATATTTGTTAGAATAACCTAGATGTTATAAGCATACACACATATACATACAGAGAGATGATAGTTTTTAATAGTGAAAACACAATAAAAGTTTA</t>
  </si>
  <si>
    <t>ENST00000307340.7:c.6325+13049C&gt;A</t>
  </si>
  <si>
    <t>USH2A:c.6325+19671T&gt;C</t>
  </si>
  <si>
    <t>GAGTACGATAATGAGGCAGGGAAAATATAACCATCTGACTATGAATTGACCTGGTGCTTGTAGACATATGTGGTTTAACAGTTTTCCACTTTGTGTACCCCTCTCTCATAACATGTAGCATACTCTGCTAGAATCATTGATTGATTAACCTCATTGTCTTTCTCACTAGATCATGAGTACTTTGAGGGCAGGAACTTTATCTTTCATCTTTCATCCTGAAGACATGGATCAGCATATGTGTATAGTAGGAGAACAATAAATAGTTTTCAG</t>
  </si>
  <si>
    <t>ENST00000307340.7:c.6325+19671T&gt;C</t>
  </si>
  <si>
    <t>USH2A:c.7121-7736A&gt;G</t>
  </si>
  <si>
    <t>TTTCCTTTATACATTTGTACCTGGAGAATCTTCAACTAAAATTGTTAATGTTACTGTTTTCATAGTTTGTTTCCATTCTGTCAGGTATTTTGGAAAGACAGTTGTGTGGTACCACTTAATTTAGAAGCTGTGAAGGTTCACAATTTGTCCAAAATCTCTTTCTAGCAAGGTGATTCATATATACAGTTCAGAGACTAACAGGGAGACTGTAAGGTGGCATCTGACTTTCCCCACCTCCTGGTGTTCATGTCCTTGTTTACTCTCCTTCCC</t>
  </si>
  <si>
    <t>ENST00000307340.7:c.7121-7736A&gt;G</t>
  </si>
  <si>
    <t>USH2A:c.7300+4869del</t>
  </si>
  <si>
    <t>AAACCATTAGGAAGTAAAACTTAGGCACATCGCAAAAGCATAGACGTTGGAGTCCTAGAAACAAGGATTTAAATCCACCTCTTTCACTCACTGCTTGAGTGACTATGAGCAAATCTGCAGATATAACTGAGCTTAGTTTGCTCATCCATTAAAGAGGCTGGATGGTAATTCCCACCTGACTGGAGGATTGAACAACATATTATATGTAATGTGTTTAGCGCATTGCCTGTCTTGGTAAACATTTGGTGCTTCCTACCTCTTTTGTTCTAT</t>
  </si>
  <si>
    <t>ENST00000307340.7:c.7300+4869del</t>
  </si>
  <si>
    <t>USH2A:c.7301-12432del</t>
  </si>
  <si>
    <t>CCATAGAGCTTCCGGCCCATAACAGGTCAGCAAAGTCTTAGTCATTTAACAGGTCCAAACTTAAATACCACTTCCTTAGAAAGCCTTTCTTCTTTCAACCAAAATTAAGTCGGCCCCCTTTAATGATACCTCTTGCACCTCTGTTCTCCCTCCTAGCACTTTGTGTACATTTTAACTACATATTGCTTTCTATTTGTTTGATGCCAGTCTTGCTCCACTTGACAATATTCTCATGCCCATAATGGTGTGACTCTGGCTAGTTTGTTCTTC</t>
  </si>
  <si>
    <t>ENST00000307340.7:c.7301-12432del</t>
  </si>
  <si>
    <t>EYS:c.2992+10294C&gt;T</t>
  </si>
  <si>
    <t>TCATTATTTTATTGCAGTACCTACAAGAGTGCCTAGGACATTAAAGGCACACAAAAATTTTTAAAATAAAATCATATTTCACTTCAAGTAAGTTAATTTTTTAATTGTATACAATTTAAACTTTTTGAATGTTAATACATGTAACTGCTTAGTGATTATAGTTTTTCATAAAGTGTTTTCTCTTTTAATTTTCTTCTCATGCTGCCAATAAAAAACATTTAAAAAATTAGTAACCAATAAGAAATAAAATTCTGACTTTTAAAATGCTGA</t>
  </si>
  <si>
    <t>ENST00000370621.7:c.2992+10294C&gt;T</t>
  </si>
  <si>
    <t>USH2A:c.784+2181T&gt;C</t>
  </si>
  <si>
    <t>AGTGCAGTGGTGCAATCTCGGCTCTCTGCAACCTCTGTCTCCTGGGTTCAAGTGATTCTCCTGCCTCAGCCTCCTGAGTAGCTGGGATTACAGATGTGCACCACCACGCCTAACTTTTGTATTTTTAGTAGAGACGGGGTTTCACCATGTTGGCCAGGCTGGTCTCGAACTCCTGGCCTCAGGTGATCCACCCACCTTGGCCTCTCAAAGTGCTGGGATTACAGGCGTGAGCCACCGCACCCTGCCGTAAATAATACTATTATTAATGTT</t>
  </si>
  <si>
    <t>ENST00000307340.7:c.784+2181T&gt;C</t>
  </si>
  <si>
    <t>OGI1304_002498</t>
  </si>
  <si>
    <t>EYS:c.2993-28432C&gt;T</t>
  </si>
  <si>
    <t>AGAACATAAATTATTTGCTTCTGACATTTTATGGTGGGATAGGCATGGATGTCCTTATTTTTTTAAAAAAAATCACGAAACAAAGGAGCCACTGGCCTTCAACAAGTCCAGATGTCATCAAGGAAAACTCTATTGtCTCAAGTCATAGGAATAATTCTTTCTGGCTTGATGTTCAGAACTCTGAACCCTCTTTGGTGACTTCTGAATCAGGTTCTCCACCTTCTCCATGCATGGTGGCAGCTCCATTTCATCCATGTGCAGTCGCTTCCA</t>
  </si>
  <si>
    <t>ENST00000370621.7:c.2993-28432C&gt;T</t>
  </si>
  <si>
    <t>USH2A:c.784+2182G&gt;T</t>
  </si>
  <si>
    <t>GTGCAGTGGTGCAATCTCGGCTCTCTGCAACCTCTGTCTCCTGGGTTCAAGTGATTCTCCTGCCTCAGCCTCCTGAGTAGCTGGGATTACAGATGTGCACCACCACGCCTAACTTTTGTATTTTTAGTAGAGATTGGGTTTCACCATGTTGGCCAGGCTGGTCTCGAACTCCTGGCCTCAGGTGATCCACCCACCTTGGCCTCTCAAAGTGCTGGGATTACAGGCGTGAGCCACCGCACCCTGCCGTAAATAATACTATTATTAATGTTA</t>
  </si>
  <si>
    <t>ENST00000307340.7:c.784+2182G&gt;T</t>
  </si>
  <si>
    <t>USH2A:c.784+2193A&gt;G</t>
  </si>
  <si>
    <t>CAATCTCGGCTCTCTGCAACCTCTGTCTCCTGGGTTCAAGTGATTCTCCTGCCTCAGCCTCCTGAGTAGCTGGGATTACAGATGTGCACCACCACGCCTAACTTTTGTATTTTTAGTAGAGATGGGGTTTCACCGTGTTGGCCAGGCTGGTCTCGAACTCCTGGCCTCAGGTGATCCACCCACCTTGGCCTCTCAAAGTGCTGGGATTACAGGCGTGAGCCACCGCACCCTGCCGTAAATAATACTATTATTAATGTTATTATAATTATT</t>
  </si>
  <si>
    <t>ENST00000307340.7:c.784+2193A&gt;G</t>
  </si>
  <si>
    <t>USH2A:c.8224-125C&gt;A</t>
  </si>
  <si>
    <t>AAGGTGTGTATCAGTCTGACAGTCGTAGAAAGTGGCAAGACTGAAAGCCAAACCCAGGAAACAGCATTTCATTTAGCTCCTGGAGTACTGCTAATTGATCTCAAACCCTTCATTACTGTCTAGTCCAAAGGCCTAAGGAGAATGTAGCCATTTAGAAAATGACTTAACTGAAAACAAGAGCAAAATTCTAGGCCTCGTGAACTTCAATTGCTCTATTCCTGTATCGTCACACTGATTCTAAGTTTATCTTTCATTTCAGGTCACTTGGAA</t>
  </si>
  <si>
    <t>ENST00000307340.7:c.8224-125C&gt;A</t>
  </si>
  <si>
    <t>USH2A:c.9739+1498T&gt;C</t>
  </si>
  <si>
    <t>AAAGAGCTTAATAAATGCAGAGCCAGCTAAGCAGAACAGGAGGTTTTACTCAAAACAGTCTCCCAGAAAATTCAAAACCTAGGGTCTGTCTGGGCACGGTGGCTCATGCCTGTAATCCCAGCACTTTGGGAGGCCGAGGCGGGTGGATCACCTGAAGTCGGGAGATCAAGACCAGCCTGGCCAACATGGCTAAACCCCATCTCTTGTAAAAAATACAAAAAATTAACTGGGCGTGTGGCAGGCTCCTGTAATCCCAGCTTCTCGGGAGGC</t>
  </si>
  <si>
    <t>ENST00000307340.7:c.9739+1498T&gt;C</t>
  </si>
  <si>
    <t>USH2A:c.9739+1499G&gt;A</t>
  </si>
  <si>
    <t>AAGAGCTTAATAAATGCAGAGCCAGCTAAGCAGAACAGGAGGTTTTACTCAAAACAGTCTCCCAGAAAATTCAAAACCTAGGGTCTGTCTGGGCACGGTGGCTCATGCCTGTAATCCCAGCACTTTGGGAGGCTAAGGCGGGTGGATCACCTGAAGTCGGGAGATCAAGACCAGCCTGGCCAACATGGCTAAACCCCATCTCTTGTAAAAAATACAAAAAATTAACTGGGCGTGTGGCAGGCTCCTGTAATCCCAGCTTCTCGGGAGGCT</t>
  </si>
  <si>
    <t>ENST00000307340.7:c.9739+1499G&gt;A</t>
  </si>
  <si>
    <t>USH2A:c.9739+1502G&gt;A</t>
  </si>
  <si>
    <t>AGCTTAATAAATGCAGAGCCAGCTAAGCAGAACAGGAGGTTTTACTCAAAACAGTCTCCCAGAAAATTCAAAACCTAGGGTCTGTCTGGGCACGGTGGCTCATGCCTGTAATCCCAGCACTTTGGGAGGCTGAGACGGGTGGATCACCTGAAGTCGGGAGATCAAGACCAGCCTGGCCAACATGGCTAAACCCCATCTCTTGTAAAAAATACAAAAAATTAACTGGGCGTGTGGCAGGCTCCTGTAATCCCAGCTTCTCGGGAGGCTGAA</t>
  </si>
  <si>
    <t>ENST00000307340.7:c.9739+1502G&gt;A</t>
  </si>
  <si>
    <t>USH2A:c.9739+1503C&gt;T</t>
  </si>
  <si>
    <t>GCTTAATAAATGCAGAGCCAGCTAAGCAGAACAGGAGGTTTTACTCAAAACAGTCTCCCAGAAAATTCAAAACCTAGGGTCTGTCTGGGCACGGTGGCTCATGCCTGTAATCCCAGCACTTTGGGAGGCTGAGGTGGGTGGATCACCTGAAGTCGGGAGATCAAGACCAGCCTGGCCAACATGGCTAAACCCCATCTCTTGTAAAAAATACAAAAAATTAACTGGGCGTGTGGCAGGCTCCTGTAATCCCAGCTTCTCGGGAGGCTGAAG</t>
  </si>
  <si>
    <t>ENST00000307340.7:c.9739+1503C&gt;T</t>
  </si>
  <si>
    <t>ADGRV1:c.13082+323A&gt;T</t>
  </si>
  <si>
    <t>GTTAAATATAACTTCCCTCTGAAAATTGAAAGTATGTGTTTCTATTGTGTGGACTCACTCTGGGTAGCCAGGAAGTTGAATATGATAACGGCTTCTAATTGGTGAAGACACAGCCTAACAGCTCTCTAAATCAGTGGTCAGCTGGTGTGGCTGAATTTGCTTCTTTTGATTTCCATACTTGTGAAAGGGCTGAAGGGAGGGATTTCTTTCATTGGTGCATCTGAAGTCTGTATCGTCTTCTCTGTGGGTGAATGACATAGATGCTTGCCC</t>
  </si>
  <si>
    <t>ENST00000405460.8:c.13082+323A&gt;T</t>
  </si>
  <si>
    <t>ADGRV1:c.14518-4989G&gt;A</t>
  </si>
  <si>
    <t>ACCAAGTGGACCTAAGAGACATCTACAGGTATCTCCACCCCAAATCAACGGAATATATCTTCTTCTCAGCACCTCGTCGCACTTATTCTAAAATTGACCACATAATTGGAAGTAAAACACACCTCAGCAAATGTAAAAGAATGGAAATAATAACAGTCTTTCAGAGCACAGTGCAATCAAATTAGAACTCAGGATTGGGAAACTCACTCAAAACTGGGTAAATAACAAAATGAAGGCAGAAATAAAGATATTCTTTGAAACCAATGAGAA</t>
  </si>
  <si>
    <t>ENST00000405460.8:c.14518-4989G&gt;A</t>
  </si>
  <si>
    <t>ADGRV1:c.16078+1795A&gt;C</t>
  </si>
  <si>
    <t>GGCAGGCACCTGTCGTCCCAGCTACTCGGGAGGCTGAGGCAGGAGAATGGCGTGAACCTGGGAGACGGAGCTTGCAGTGAGCCCAGATCACGCCACTACACTCCAGCCTGGGCGACAGAGTAAGACTCCGTCTCCAAAAAAAAAAAAAAAAAAAAAAAAAAAAAAATTTATTTGGCAGTCAGCATCCTCCTTCTCATTCTAATAGAGACACAGATATTTTATTACAGGTATTTGAATATAACCAGGGCTGATAGTAAAAATACTTAACAA</t>
  </si>
  <si>
    <t>ENST00000405460.8:c.16078+1795A&gt;C</t>
  </si>
  <si>
    <t>ADGRV1:c.16078+1797_16078+1798insTC</t>
  </si>
  <si>
    <t>CAGGCACCTGTCGTCCCAGCTACTCGGGAGGCTGAGGCAGGAGAATGGCGTGAACCTGGGAGACGGAGCTTGCAGTGAGCCCAGATCACGCCACTACACTCCAGCCTGGGCGACAGAGTAAGACTCCGTCTCAAATCAAAAAAAAAAAAAAAAAAAAAAAAAAAAATTTATTTGGCAGTCAGCATCCTCCTTCTCATTCTAATAGAGACACAGATATTTTATTACAGGTATTTGAATATAACCAGGGCTGATAGTAAAAATACTTAACAA</t>
  </si>
  <si>
    <t>ENST00000405460.8:c.16078+1797_16078+1798insTC</t>
  </si>
  <si>
    <t>ADGRV1:c.16611+121T&gt;G</t>
  </si>
  <si>
    <t>ACTTTAGTACCCAGGTAAGCATGGAATATATATATTCATACACGTTATGGTTTTCTTCTTTAACTACAGCAAGAGTAATGACATAGGGAATAATTGATACATTATTTTCTGAGGATAACATCGTAATTCACTTTGTATTCATTACATTAAGCTTTATCCTTGAAACAGCTCAGCTTTTCACTCATCAGTAACAGATCATGTTTTAAAACGACAGACTTCTTTTTTCTCTCTTTTGACAAGATTGATTATACAGTGCAAACTATCTTACAT</t>
  </si>
  <si>
    <t>ENST00000405460.8:c.16611+121T&gt;G</t>
  </si>
  <si>
    <t>ADGRV1:c.17204+849G&gt;A</t>
  </si>
  <si>
    <t>TGCACCACCACACCTGGCTTATTTTTGTATTTTTTGTAGAGATAGAATTTCACCATGTTGCTCAGGCTGGTCTTGAACTCCTGGGCTCAAGCGATCCACCTGTCTTGGCTTCCCAAAATGCTGGGATTACAAGCATGAGCCACTGTGCCCAGCCCAATGTTAGTTCCTAGGTCACAAGACATACGAAGTTCAAAGAGATAGTCAATCCAGATAGAAAAAAGTTATAAGAACAAGGAATAAAATAATAATGATACAAATGATATTAATTAT</t>
  </si>
  <si>
    <t>ENST00000405460.8:c.17204+849G&gt;A</t>
  </si>
  <si>
    <t>EYS:c.5645-10759G&gt;A</t>
  </si>
  <si>
    <t>GATCTTTGTTGGTTTAAAGTCTGTTTTATCAGAGACTAGGATTGCAACCCCTGCCTTTTTTTTGTCTTCTGTTTGCTTGGTAGATCTTCTTCCATCCCTTTATTTTGAGCCTATGTGTGTCTCTGCATGCGAGATAGGTTTCCTGAATACAGCACACTGATGGGTCTTGACTCTTTATCCAATTTGCCAGGTTGTGCCTTTTAATTGGAGCATTTATCCCATTTACATTTAAGGTTAGTATTGTTATGTGTGAATTTGATCCTGTCATTA</t>
  </si>
  <si>
    <t>ENST00000370621.7:c.5645-10759G&gt;A</t>
  </si>
  <si>
    <t>EYS:c.5928-19815A&gt;C</t>
  </si>
  <si>
    <t>TGCACCAACCTAATACAAGTTGGAAGAAAAAACAAAAGAGTCATATTGACTATGGTATAATTTCAGAGTTTACCAATTCTCTGTACCCTACAGACACTACAGAAGTTTGGTTTTTGTATCTCTTCTCACAGGAGAcTGAATACATTCTATATTGTATTTTTTCTCACAGAAATACATGTTATGCAGGGCTTTCTAGAAAAGACAAACTCAGTTTTAGGAGAATACCCTGTGTTGGGATTTATACTATCCCTGTACCCCAGCTGGGGCTCA</t>
  </si>
  <si>
    <t>ENST00000370621.7:c.5928-19815A&gt;C</t>
  </si>
  <si>
    <t>EYS:c.6078+15034C&gt;T</t>
  </si>
  <si>
    <t>GTCCAACGGTCCTGCTTCTATGGGAACTTAGCTGGCAGGCATAGACTTCTTTTGTCCCTGGAGGAACCCAGATGCTCTACCCACCCCTCCTGCTGATAGCCAGGTGAGCCATACCTGCTAGAGCTTCTGGCTCAGTCGTCCTACTTCTTCCTGAATTTGCCAAGGGGCACAGCTTCCTGTTGCCTTGGAAACACCCGGATGGCAGGGCAGGCAACTCCACCCACACCAACCTCTCCTTGCTAGACAGGCTACACCCACTAGAGCTTCCAA</t>
  </si>
  <si>
    <t>ENST00000370621.7:c.6078+15034C&gt;T</t>
  </si>
  <si>
    <t>EYS:c.7056-41271G&gt;A</t>
  </si>
  <si>
    <t>GTGTAAAGATCAAAATCGACAGGCAAATTCTAGTCCACTGGGTTAGAGAATTTAACACAATACAGTACCATAAAATGTGCCGCTGATAGTATTTGAGTCATTCTATTAAATTTTACTCCTGAAATCCCCTTATTTTGCCAGGCGCGGTGGCTTACGCCTGTAATCCCAGCACTTTGGGAGGCAGAGGCGGGTGGATCACGAGGTCAGGAGATGGAGACCATCCTGGCTAACATGGTGAAACCCCATCTCTACTAAAAAATACAAAAAATT</t>
  </si>
  <si>
    <t>ENST00000370621.7:c.7056-41271G&gt;A</t>
  </si>
  <si>
    <t>EYS:c.7229-12829G&gt;A</t>
  </si>
  <si>
    <t>TAGCCATAGTCCTATTGAATCAGAATTTACATCATCCACCTCCCTTTCAGGCTTCCATGAAACCACACAAACAGGTATGAAGGGGCTTGAAGGTGTTGCCCCGAGTGACTGATCACAATAGGCACAGAGAGGAGAATCATGCATTCATTTATTCATTCAATAAAGAGAGCCTCCTATGGGCAGGCACTGTTCCAAGTGCTTAGGATGCAGCAGAAAACAAAAATGACAAAATCCTGCCTTCACGGACCTTACATTTCAGTGAGGTGGGGA</t>
  </si>
  <si>
    <t>ENST00000370621.7:c.7229-12829G&gt;A</t>
  </si>
  <si>
    <t>EYS:c.7411+3764C&gt;G</t>
  </si>
  <si>
    <t>CAGGCCTTCTTGAATCAAAAATTAGAATAAAATAAAATAAAATTTTATCAAGAATCTTAGGTGCTTTTTATGCAACTAATATTTGTTTTTTTTTTTAATTTTACTTTAAGTTCTGGGATGCATGTGCAGAACGTGGAGGTTTGTTACATAGGTATACATGTGCCATGGTAGTTTGCTGCATCTATCAATCTGTCATCTAGGTTTTAAGCCCCGCATGCATTAGGTATTTGTCCTAATGCTCTCCCTCCTCTTCCCCTCCTTATGCAAGTA</t>
  </si>
  <si>
    <t>ENST00000370621.7:c.7411+3764C&gt;G</t>
  </si>
  <si>
    <t>EYS:c.863-27247C&gt;T</t>
  </si>
  <si>
    <t>TTCTGCTCAAATGTGGGTCAGAGCATGTCAGTTTGCTAAATCCCCTTCTGTGTAGAAGCTTTTATATCACTAAGAAGAGGAGCCTTCAAAATGCCCTATAAGGACCTAAATTGTCTGACCTCCTTTCCTTTTGGATCTGGTCTCCCACTCTCCCACGTCTGTACTCCTCTCATTCTTTCACAGTCATCTTGGGCTCCTTCTTGTTCTGCAAAGTTAGGCATTTCCTTACCACATTATTTAAAAATGAACCCTATACCCATACCTGAGCAA</t>
  </si>
  <si>
    <t>ENST00000370621.7:c.863-27247C&gt;T</t>
  </si>
  <si>
    <t>ADGRV1:c.17595-329A&gt;C</t>
  </si>
  <si>
    <t>AGGAAGAAATCTTAGATAACCATACAAGTAATTTATATGGTTCAAAATACAAGGACTTGTGGAAGAAAAAAAACAAAGAAGAGTAAACACATATCACAGCCATGTTGTTCTTGTGTGAGTTTTGAATGGTAGAGCAGAGTGCCTTCTATTGAGCATGTCGGGTAGGTTTGCTAGATTAGGTAGGAATTTGTACTGCCCTGTTGAGAGGACAAGCTCCTTTGGTACCAGGAATGCCTTCAAAGCTTTGGTTGGTATTTAGGCTGCTTCTTA</t>
  </si>
  <si>
    <t>ENST00000405460.8:c.17595-329A&gt;C</t>
  </si>
  <si>
    <t>ADGRV1:c.17856+29625G&gt;A</t>
  </si>
  <si>
    <t>TTATTTGACAGTCTACTCTTAGAAGTCATGTGCCATCTCTTCTCCCATATTTTACTGGTCGCACACAACTACCCTAGTCTACTGTGGGAGGGGACTACGCAAGAGTATATCAGGAGGTGGGGATCACTGGGGCCATTGTGAAGGCTGGCTGCCGTGATATGTTTGGCTATATAAAGTCAAACTATTCGACAAGTTTTAAGACTCTTGTGTAATCAGCCCATAAAATCTATTTTAGCAGTATCCATTTGCTTATAATTTATGAGCTGACTA</t>
  </si>
  <si>
    <t>ENST00000405460.8:c.17856+29625G&gt;A</t>
  </si>
  <si>
    <t>ADGRV1:c.17974-4693del</t>
  </si>
  <si>
    <t>TTGTGAGGGTGGGTGGTCTTAAGATAGTTTATAAGATCCTTCTAACAACATTTTAAAAGCTTAGAAACAGAAGTGTAAATAGAGACCTACATATTGAATATTTTAGTACAGTCTTTAGCAGAAAACGTGTAAGATAACAGTGAACAGTAAGCTATGTTTAGTTAGCATGAAGCATATTTAGGTGAGCGACACCCTTTGACTTGCGTTCTGTTAGTTCCACATTGGATAAACGCATAGTCAATCAGGCACACAGATCACATTTGCTATATA</t>
  </si>
  <si>
    <t>ENST00000405460.8:c.17974-4693del</t>
  </si>
  <si>
    <t>ADGRV1:c.18152+11026C&gt;A</t>
  </si>
  <si>
    <t>GGTATTAAGCCTGTGGGTGCACAGAGTACAAGAGTTGAAGCCTGGGAGACTCCAACTAGATTTCAGAGGATGTATGGAAATGCCTGGATGTCCAGACAGAAGTCTACTGCAGGGGTAGGACCCTCATGGAGAACATTTACTAGGGCAGTACAGAGGGGAAATGTGGGGTTGGAGTCCCGACACAGAGTCCCTACTGGGACACTGCCTAGTGGAGCTGTGAGGAGAGGGCCACAGTTCTGCAGACCCCAGAATGGTAGATCCACTGACAGT</t>
  </si>
  <si>
    <t>ENST00000405460.8:c.18152+11026C&gt;A</t>
  </si>
  <si>
    <t>ADGRV1:c.18153-18352_18153-18351insAG</t>
  </si>
  <si>
    <t>TAGTGGGTTTTCCGTTAGCATAAGATCAAGAATTTTGTCCATTATATGGCACAATAGCCCTGCTGCTTTCATACTGAAAGTTGTGCTTCATTTCAACTACTCTGTGTGTGTTTGTGTGTGTGTGTGTGTGTGTGTGAGTGTGTGTGAGAGAGAGAGAGAGAGAGAGAGAGAGAGAGACAAAGACTCTGAAACAGCTGCTAAAGAGAGCAAACCGGGATGAATGTATAACCTATTATTAGCAGATAGCATTTTGATACCCCACTCCTAGTT</t>
  </si>
  <si>
    <t>ENST00000405460.8:c.18153-18352_18153-18351insAG</t>
  </si>
  <si>
    <t>OGI1529_002725</t>
  </si>
  <si>
    <t>FLVCR1:c.1092+640C&gt;T</t>
  </si>
  <si>
    <t>TACTGTGGGAGCTCACTCCAAAACAATGGCCTCCCATCATTTTAATTTAACATATTTAATCCAGTTTATAAAGCACATAGTATGGCCAGGCATAGTGGCTCACGCCTGTAATCCCAGCACTTTGGAAGGCCGAGGtGGGTGGATCACCTGAGGTCGAGACCAGCCTGACCGACATGGAGAAACCCTGTCTCTACCAAAAATACAAAATTAGCTGGGCATGGTGGCGCATGCCTGTAATTCCAGCTATTCGGGAGGCTGAGGCAGGAGAAA</t>
  </si>
  <si>
    <t>ENST00000366971.8:c.1092+640C&gt;T</t>
  </si>
  <si>
    <t>ADGRV1:c.18153-249A&gt;G</t>
  </si>
  <si>
    <t>GGATTTAATAGCCTGATTTCAGAGCCCAGATCTCTTGACTCCATGACTTTCTGTGGCCTTTTTAAAATGAACAGATATGTACCCTTAACTTCTATGAGATGTATATAGTGTGCATCTCTCAAATTTATTTGGCCGTAAGCTTTTTTGAAGTTTTCTGAACTTTACAAGAGGTGAATGTTCCAGGGAACCTACTGTGTGAAGCAGTGGGCTAGATTTAATCAGATGTTGTACTCAAACAAAACTTCAGTTTGGCAAACCAAAAATCTGATG</t>
  </si>
  <si>
    <t>ENST00000405460.8:c.18153-249A&gt;G</t>
  </si>
  <si>
    <t>ADGRV1:c.18153-8289G&gt;A</t>
  </si>
  <si>
    <t>GCTGGTATGTGATTGATATTTAAATGTTGATTGGATTATGATTGAGCTGAGGACACTTGAAATACAGGATTTTCTATGCCATATTTTTAAGTGAGAGGTTTTCAAAAACTGCTAAGAACCAGTTAAATCAATAAACATTTCTTAAGGATCTGATTGTGCAAAGCCCTGGGAGAAATGTAAAGAAAATGTTACAGTCCCTGTCCTCAAAAGAACACTGGCATATTTACCACTAACTTGAATATGTCTATACTGGAATTGTGGAAATAATTG</t>
  </si>
  <si>
    <t>ENST00000405460.8:c.18153-8289G&gt;A</t>
  </si>
  <si>
    <t>ADGRV1:c.18432+22936C&gt;T</t>
  </si>
  <si>
    <t>TCTTTCGTCTTCCTATTGCATGTATTCTCAACACTCAGGACTTGCCTCCCCTGAATGGATGAGAGTGGAGAAGCACAGAGGTTGACATCCCCTAAACTTGTACGAGAGTCTTTTAAACTCTGCTGCTGACATGGTGTACAAACAGTGGTCTCTAAAAGTGCATTTCATTCACTTTGGGTAGGTCATGCATTATAATATCATTTCCCCCCAAAAGTAGCTATTACTATTACTTCCTTGAAAGGGCCAGGAATATACTTGGAAGATACAGTG</t>
  </si>
  <si>
    <t>ENST00000405460.8:c.18432+22936C&gt;T</t>
  </si>
  <si>
    <t>ADGRV1:c.6491-1372G&gt;A</t>
  </si>
  <si>
    <t>AATTTTGTTTTGTTTTGTTTTGAGATGGAGTCTTGCTCTGTCACCCAGGGTGGAGTGCAGTGGTGTGATCTTGGCTCACTGCAATGTCCGCCTCCCGGGTTCAAGATTCTCCTGCCTCAGCCTTCCGGGTAGCTAGGACTACAAGCGTGTGCCACCATGCCCAGCTAATTTTTGTATTTTTTAGTAGAGATGGGATTTTACCATGTTGGCCAGGATGGTCTCGATCTCTTGACCTCATGATCCGCCCACCTTGGCCTCCCAAAGTGCTGG</t>
  </si>
  <si>
    <t>ENST00000405460.8:c.6491-1372G&gt;A</t>
  </si>
  <si>
    <t>RPGRIP1:c.587+309G&gt;T</t>
  </si>
  <si>
    <t>CTCTCTGTTCTCTGAGGAAATGAAAATAAAGGTCCATTTCTCAGTTGAAGGTATTCCCTCTATTTACATTTATATTTTTTTCCTTAGGTCATAATTCCTTTGTTGTGTTTTTTTTTTTTTTTTTTTTTTGAGATTGAGTCTTGCTCTGTTGCCCAGGCTGGAGTGCAGCAGCGTGATCTTGGTTCACTGCAACCCCTGCCTCCCAGGTTCAAGCAATTCTCCTGCCTCAGCCTCCTAAGTAGCTGGGACTACAGGCATGTGCCACCATGC</t>
  </si>
  <si>
    <t>ENST00000400017:c.587+309G&gt;T</t>
  </si>
  <si>
    <t>PDE6B:c.1401+729A&gt;G</t>
  </si>
  <si>
    <t>CAGAGGTCATGGCTCTGCGGCGGGGGCAGGTCACCAGGGGTCACAGCTGTGCGGTGGGGACAGGTCACCAGGGGTCATGGCTGTATGGTGGGGGCAAGTCGCCAGGGGTCACGGCTGTGTGGCGGGGGCAGGTCGCCCAGGGGTCATGGATCTGTGGCAGGGACAGGTCACCAGGGGTCACGGCTGTGCGGCGGGGGCAGGTCGTCCAGGGGTCACAGGTGTGCGGGGCAGGTCACCCAAGGGTCATGGCTGTGTGGTGGGGGCAGGTCA</t>
  </si>
  <si>
    <t>ENST00000496514.5:c.1401+729A&gt;G</t>
  </si>
  <si>
    <t>PDE6B:c.2129+270C&gt;A</t>
  </si>
  <si>
    <t>GTGAAACAAATGCGCCGTCCTTATTTCCCCCCAGCTCTCAGGGAGATGGTGCAGAGCTGGGGAGCACACAGGCCCTGCATTGGTCTGTAGCCCTTGGCAGTAACTTACTTCATTTTGACCTTCCACTTTTTCACATGTAAAATGGTGATTCACAACCAGCCCCTCCCCAGGCTGGTCCCAGGGACCCAGTGAGAAAATACACATAAACCCAGCACTTGGGAGGCCGAGGGGAGTGGATCACCTGAGGTCAGGAGTTCGAGATCAGCCTGG</t>
  </si>
  <si>
    <t>ENST00000496514.5:c.2129+270C&gt;A</t>
  </si>
  <si>
    <t>PDE6B:c.712-4219G&gt;A</t>
  </si>
  <si>
    <t>CTGCTGCTGCTTTGAAAGTGAAGGAGCGCCATTCTTGGATTCCCCAGGCACTCGCTGGGGTCCCTTATGCTGACCACAGCCTGGGAAGACTGTTCACTGGTGGACCCACAAAGGCCTGGGAAGACTGTTCGCTGATGGACCCACAGAGGCCTGGGAAGACTGTTCGCTGGTGGACCCACAAAGGCCTGGGGTTGGGACCGCGTAGGCCTGAGCGCTTGCCTCCCACCACAGCTATGGCCCAGGGCTCAGGGTCGGGGGGAGACTCTGGCC</t>
  </si>
  <si>
    <t>ENST00000496514.5:c.712-4219G&gt;A</t>
  </si>
  <si>
    <t>PDE6B:c.712-7143G&gt;A</t>
  </si>
  <si>
    <t>TCCGGCACCCGCCGCCCACTCGCACCTTCTGTATTTGTCTCTCTGCTCCGCTCGCTCCGCTCGTGGTTCCCTCTGCGTTTCTGTGTTCGCGCTCCCGGCCCCCTTCCTCAGACACGCGCAGCCTCCGGCCGGGCAGCGGCGCACTGCGTTTCCACCTCGCATTTCCTGTACTCCAGCGCGCCTTGTCCTTCCCAGAGCGTCCATCTCTTTGCTTATGTTACCATCTGCTCCGGTGCGCTGCCTCCGTTTTCTAGTAGCGCCTTTAGCATA</t>
  </si>
  <si>
    <t>ENST00000496514.5:c.712-7143G&gt;A</t>
  </si>
  <si>
    <t>OGI1656</t>
  </si>
  <si>
    <t>EYS:c.-333+11466C&gt;A</t>
  </si>
  <si>
    <t>CTGGCTTGGGCAGCCTGCTTTTATTCTCTTATCTGGCCCCACCCACATCCTGCTGATTGGTGGAGCCGAGTGGCCTCTTTTGTCAGGGTGCTGATTGGTGCGTTTACAATCCCTGAGCTAGATACAAAGGTTCTTaACATCCCCATTAGATTAGTTAGATACAGAGTTTCCACACACAGGTTCTCCAAGGCCCCACCAGAGCAGCTAGATACGGAGTGTCGATTGGTGCACTCACAAACCTTGAGCTAAACACAGGGTGCTGATTGGTGT</t>
  </si>
  <si>
    <t>ENST00000370621.7:c.-333+11466C&gt;A</t>
  </si>
  <si>
    <t>EYS:c.-447-17023A&gt;G</t>
  </si>
  <si>
    <t>AGGCTTTGTTCCTCCATTTCTAGAGGACAGGCAGAGTAGATTGAACATAATTCTTAAGGGGCCTAAAATGTTCAAAATAGTAAATGAGATTCAGTTTCAACTTTAAAATCACCAGCTACATTAGCCTCTAACAAGgAAGTCAGCCTGTCCTTTGAAGCTGTGAAACCAGGCATTGACTTCTGTTCTCTAGCTATGAAATTCCTATTTGGATATTCTTCTCATATTAAACTGTTTTGTTTCCATTGAAAATCCATTGTTCATCTTAATCAT</t>
  </si>
  <si>
    <t>ENST00000370621.7:c.-447-17023A&gt;G</t>
  </si>
  <si>
    <t>EYS:c.2259+7490G&gt;T</t>
  </si>
  <si>
    <t>GTTCATAGAGAAATAAAATCACACTTTCTTTCAGAACAGATTGATTTTAGCAATTTATTAACTTAATAGCCTCAGTAAATAACTCCATTGTGTTCTAAGTCCCTGTTTATTTCTAACCACCTCATTTGTCTGTAGtTAGTTTATTAAAAGTAAAAAATAAATAGGAAATTTAGGATTTGGGAGTTGATAGATACATGTGTAAACAAGCACATGTGCAAGTATGCCTGTACATTTGTGTGTACCTACACAAATAGAGAATATGTGTATCTC</t>
  </si>
  <si>
    <t>ENST00000370621.7:c.2259+7490G&gt;T</t>
  </si>
  <si>
    <t>EYS:c.2260-118T&gt;C</t>
  </si>
  <si>
    <t>AATGCATAAATCTTTAATACCTTCTGTAGAATCTATTGACTTACTACAAAACTTTATTTAATTAGATACTAAAGAATACTGTTCACACGCTTTTAAAAATGTGGTAAAAGTCATTTGGGGGGAGTATTGGCATTCcATAAAACTAAAAAAATTATAAATTGACAGAGATATCAAAATGGCCAGGAGTAATATCTGTATTATAGGCTTAATAGTAAGAAATAGCCTAAAAATATATAATTTCATATTCTCTTAGAGCTACCAGTGTGTGTG</t>
  </si>
  <si>
    <t>ENST00000370621.7:c.2260-118T&gt;C</t>
  </si>
  <si>
    <t>EYS:c.2993-8675G&gt;T</t>
  </si>
  <si>
    <t>GAGGTAGGAAAATATAAGGAGAAATAAGATTTAAATGAACATCATTATCATCATCATTTTCATCATCAAATATTTATTGATACTTGTCCTTTTCCAAACCTCTAAGGACTACTGTAATGAATTTTAAAAGCATCTtTCCAAACCTGGGATATTTATAGACAGGAAAATAAAGCATCAGTAAAAGTTCCTTGGAGAGCTTCTGAAAACAGATATAATATTCTAATAAATTCTTTCCAAACAATGAAAATATTAGCAAATGATTGTTAATCA</t>
  </si>
  <si>
    <t>ENST00000370621.7:c.2993-8675G&gt;T</t>
  </si>
  <si>
    <t>EYS:c.3685-7616A&gt;C</t>
  </si>
  <si>
    <t>TTCCTTTCAGTTTGAAAAGAACATATCCTACTTCATTGTGTTACTTCTTAAGTTTTTTCTATTAATGAAAAGTTATTTTGTGAAAAGGAATTCTGAAGTATACATAATGGTTGCTTTCATGTGCTTTCTCATTCTgTGTTCATTTAGATGACTTCAGAATCAAAAGTCAAGCCTATATTTGCTTCCTTCAGTTGTATATTATCAGGGTTACAATACCTAATATATTTTTGTTTACATCAAATCTTCTCAAAAAGGATAGTCAAATATCTT</t>
  </si>
  <si>
    <t>ENST00000370621.7:c.3685-7616A&gt;C</t>
  </si>
  <si>
    <t>CPLANE1:c.7813-157G&gt;T</t>
  </si>
  <si>
    <t>TGTAGTAAAGGTTCAAAAATTAATTTAAGCATTATGCCAAAAATATTATAAACTAAGACCAATAATACATACTTCCTGCTCCTTTTCCTAAGTTAGGCACATTCAGGCCCTTCTTTCCTTGTTTTTAATAAGAATTAAGAATTAAGCCTTTTTTTTTTTTTTTTTTTTTTTTTTGGCGGAGTGACCACATAGAGTAAAAAGAATGTAACCCTCTTTGGTTTTATGTGTTTTGGCTCAGGTTGGACATACTTATATAAATGTGATTGACAT</t>
  </si>
  <si>
    <t>ENST00000508244:c.7813-157G&gt;T</t>
  </si>
  <si>
    <t>CDH23:c.-6+10502C&gt;T</t>
  </si>
  <si>
    <t>GGCTTTCCGGGTCTCGACCCAAGTAACCTTATCAGAGCTTGTAGTTTTATCATGTTGCTGTATGGGTGGTAATCATGAGGCAGTGAAATAGGTGTGAATAATGAAGAAAAATGCCCCTGGCAAGTGTGTGAAGATTTTAGTGATAGTCCTTTCATTGACCCAAGTGCTTTAATTCTCTGAGCCACAGTTTTCTCATCTGTAAAATAGGGGAAAAATCCCCTTCTGACCAATCACTTGATTCAGTGAGTAGGGGTCTCTCATGAGAGACAT</t>
  </si>
  <si>
    <t>ENST00000616684.4:c.-6+10502C&gt;T</t>
  </si>
  <si>
    <t>CDH23:c.*4136A&gt;G</t>
  </si>
  <si>
    <t>TCTCCTGACTCCTGGCCCCATGGCCTTGCCACCCCTCTGGCCCCCAGCCCTTTCGGAGCTCAGTGAGCTGCTCTGGGAACAGGTGGGAAATAAACCCACAAGGAGTTGACAAGGGGGCTGGAAACCCCCCAGGGGCATCATACACCTGACAGGGCATTTCCTTTCCCACTGAAGATCATCCCATTAGACGCAGTGCAGCAGACGGTCCTTGTCGATGGAAAACCAGGCTGAGCTTTTGGCTCAATATGTCTGGGGTTGTAATAAAAATGC</t>
  </si>
  <si>
    <t>ENST00000616684.4:c.*4136A&gt;G</t>
  </si>
  <si>
    <t>CDH23:c.1450-10345A&gt;T</t>
  </si>
  <si>
    <t>AGCGGCGCCTGTGTGCTGGGCACAGAGCTAAAGCACCTGTGTGCATTACCTTCCTTAATCCTCACAATAATTCCCTGAGGTGGGTGCTCTCATTACCTCCATTTTACAGATAGGAAAACTGAGGCTCAGAGCAGTTATTACTGTGATTACTCCTTCTGTTCTTCCTTTGATCTCCTCCCCCTTCCCCCTCCTCCCTTCTCTCCCCTCTTCCTTCTCCTCCTCCCTTGATCACTTCCTTTCTCTCCTTCTCCCTCTCCCCTCCCCATCTTC</t>
  </si>
  <si>
    <t>ENST00000616684.4:c.1450-10345A&gt;T</t>
  </si>
  <si>
    <t>CDH23:c.146-17995G&gt;A</t>
  </si>
  <si>
    <t>ACGTCCAGGGCTTATTGCCCTACTGCGCTGCCCAGCACAGCTTCACAGTGGTGCCGCACCCTGGAGAGAGGCAGTTTAAGAGGGAGGCCCCAGCTAGAGAGAGCACAGAGCCCAGAGTCCTGCCACAGTCTCCAAGAGTGAAATTACTCGATGTTCAGGAACAGAGGGCATTGAAAGCCATGGGTGACAGGTGTCACAGGTGGCACAGAGGTGTGTAGGGGCCAATCTCTGGGCAGCCCCTTGGCTAAATGGCAAAGGGAGCTCTCTGCA</t>
  </si>
  <si>
    <t>ENST00000616684.4:c.146-17995G&gt;A</t>
  </si>
  <si>
    <t>CDH23:c.146-21570T&gt;C</t>
  </si>
  <si>
    <t>GAGGGCTACCTGCCAATCTTGGACCTGAGTCACTGAGATTGGCAGCAGAACCTTTTCTAGTGCTGCCCTGGCCACTTTAACACCCCTTTTCCTGGTCCATCTGACTTGTCAATCATTTCATCCCTCCAAACCGACAGTATACCCATGATCCATCTGCTGCATTCTGTTCCCAGCCTTGATTTGTTTGACCCACTCAGAGTTTCTTTAAACATCTGATTGTTAAGACTTAAACATTGAAATGTTTCTTGCAAACATGAATTTCCAGTTTTT</t>
  </si>
  <si>
    <t>ENST00000616684.4:c.146-21570T&gt;C</t>
  </si>
  <si>
    <t>CDH23:c.146-22400A&gt;G</t>
  </si>
  <si>
    <t>TATGTAAATTAATGGCATAATAAAATTTAAATGAATCAAATAATTATTAAAAACACAAGTTTAAAAAGAATCGTTAAATCATTTGGTGGGGTGGGGCCTAACTGCTCACTTTTCTCCGTATGGCCCTTATCACCGTGGTAATGAAATAATTCATGGTGTGGTTATTTATTTAGAGTTTGTTTCCACCCCCTGGTTGTAAGTGGTCTTGCCCACCATGGGAACCCCATGCCTAGACACCCTGGTGAGCCTTGGAGGATAACCAGTCATCAT</t>
  </si>
  <si>
    <t>ENST00000616684.4:c.146-22400A&gt;G</t>
  </si>
  <si>
    <t>CDH23:c.146-28401A&gt;G</t>
  </si>
  <si>
    <t>CTCACCTTCCACATCCCTCCCCTTTTGGGTGTCATTCAGCAGATAGTGTGGTCAGTACCAGCCTCTGTCTAAATGGTGGACAAATAGGTCCAGGTAGGAAAGCTTTTAAGTGCTGGAAGCTGGGAAATTACTGGGCGTGGCAAATGGGAGCAAAGGACTTCTTGGATCAGTTTCTCCTCCACAATTCCATCCTGAGCCAAGCTCCCAACATCTGGGGGCTTCCTCTCCTTCAGCTCGCAGAGCTAACCCTTGAGACGTGGCTGCGTGTGG</t>
  </si>
  <si>
    <t>ENST00000616684.4:c.146-28401A&gt;G</t>
  </si>
  <si>
    <t>CDH23:c.429+6348_429+6349insC</t>
  </si>
  <si>
    <t>GATTTGGTCCAAGAGGCCAACTTATTAGCACCCACCGCAGCCAGCAGCAGTGCCCCAGCTACCTTCCCACATGGCGTGCCTGTCAGATGCTGAATGATTTATAAACTGCATCCTCAGGTTGCAGCGAGAAGCTGGCGGGGGAGATGCGAGGGGGCTCCCACTGGCTTGTGCCTGCCATGGCCCCTGAGTTGACAGCTCCACTCATGAGCGTGTCATCTCCCACGCCAGGAGAGGCAGCCCCTTGACAGGCCATATTAATTTATACCTTGG</t>
  </si>
  <si>
    <t>ENST00000616684.4:c.429+6348_429+6349insC</t>
  </si>
  <si>
    <t>CDH23:c.430-1096T&gt;C</t>
  </si>
  <si>
    <t>GGCAGAACTGGGTGGATCATGGTGCCAGGGGAGTGGGTAGACAGGGAATGCCCTGGATGGTACTGTTAATATCAGTGCTTCTTGACACCTCCCTGCCCCACCCTTGAAGGTGCCCTTGTCTGTGCCCCTCTAGGCTTCCAGAAATTAAAATTGCAACTACTGTCTTCTCAGCACTTATGTGCTAGAATGTTTACACTCATGATCTTATGTATTCTTCACACTAACCCTGTGAGATATGATTAGCTTCAGTGTACAGTGAAGGGATTAAGG</t>
  </si>
  <si>
    <t>ENST00000616684.4:c.430-1096T&gt;C</t>
  </si>
  <si>
    <t>CDH23:c.833-18711G&gt;A</t>
  </si>
  <si>
    <t>AGGAGCTGAGGGTAGGGTTGCTCTGGACAGACATGAGAAGCAGATGGGAATGGGTCACAAAGTTGTTGGATAGGTCACAAAGGGCCAAGTTGCAGAAAGTGCTGGAAGCCAGGTGGACTTGCCGTGTTGGGCAGAGGGGAGCACGTAGGATCTTACAGGAGGAGTGAAGTGCTGAACTGGCACTCCACAATGCCCCTTGCCCAGCCCGCCCCAGGGCCTGCCTCCCAGCCCCGGTCCCCACCTCCCCGCTGCCCGGCACTCCCTTCCTCC</t>
  </si>
  <si>
    <t>ENST00000616684.4:c.833-18711G&gt;A</t>
  </si>
  <si>
    <t>CDH23:c.9739-318C&gt;G</t>
  </si>
  <si>
    <t>GGAGTTCCAGACCAGCCTGGCCAACATGGCGTGCCTGTAATCCCACCTACGTGGGAGGCTGAGGCCGGAGAATCACTTGAAGTCAGGAGGTGGAGATTGCAGTGAGCCAAAATCGCGCCACTGCGAGACTCTGTGTACACACACATACACACACACACACACAATTTTCACAAGAAGCCGATACACACACACACAATTTTCACAAGAAGCCGATACACACACACACACACACACACAGATTTTCACAAGAAGCCAATCCTCCCAAGAACC</t>
  </si>
  <si>
    <t>ENST00000616684.4:c.9739-318C&gt;G</t>
  </si>
  <si>
    <t>NMNAT1:c.-56-7250T&gt;C</t>
  </si>
  <si>
    <t>TATTTCTATGTTAATTATAAAAATGCTTCAAGCGGCCAGGCACGGTGGCTCATGCCTCTAATTCCAGCATTTTGGGAAGCCGAGGCAGGCGGATCATGAGGTCAGGAGATCAAGACCATCCTGGGCTAACACGGCGAAACCCCATCTCTACTAAAAATACAAAAAATTGGCCAGCATGGTGACGCACACCTGTAGTCCCAGCTACTCGGGAGGCTGAGGCAGGAGAATCACTTGAGCCAGGGAGGTAGAGGTTGCAGTGAGCCAAGATTG</t>
  </si>
  <si>
    <t>ENST00000377205.5:c.-56-7250T&gt;C</t>
  </si>
  <si>
    <t>PROM1:c.1141+483T&gt;G</t>
  </si>
  <si>
    <t>ATATTTTCTAAACAAACTTAAGATCAAAGTTTGTTGTTTTTTTTTTTTTTTTTTTTTGAGACAGAGTCTCGCTCTGTCGCTCAGGCTGGAATGCAGTGGCACAATCTCGGCTCACTGCAAGCTCCGCCTCCCGGGGTCACGCCATTCTCCTGCCTCAGCCTCCTGAGTAGCTGGGACTACAGGTGCCCGCCACCACACCCGGCTAATTTTTTTGTATTTTTAGTAGAGATGGGGTTTCACTGTGTTAGCCAGGATGGTCTCGATCTCCTG</t>
  </si>
  <si>
    <t>ENST00000510224:c.1141+483T&gt;G</t>
  </si>
  <si>
    <t>EYS:c.2137+2810A&gt;G</t>
  </si>
  <si>
    <t>TATTTTCCATTAAAACAAAACAGAATTTGCAAAGCATGAATAGAAATGTTAGGTAATCATAAATATTTTAACCTTCATATACTAAATACTAAATATTTTAATCTATGAATTATAGTGAAAAGGATTCTTCAGTTAGTGGTAGTGCCTTAGCTTTATATGGTACATTAACACGTTCAATGGAACTGTACATACATAAAACAAAAAAGCAAAAACAAGGTTAAATTATTTTAAAATGCACATACCTAATAATGTATAATATTTTTCTGGAAA</t>
  </si>
  <si>
    <t>ENST00000370621.7:c.2137+2810A&gt;G</t>
  </si>
  <si>
    <t>OGI1876_003250</t>
  </si>
  <si>
    <t>RPGRIP1L:c.2152+155G&gt;A</t>
  </si>
  <si>
    <t>CTTGGGTGTTTGAATTACTAATTTGGTTTATATATCGTTATGGTACTCTACATTACTATCTTTTCTTGTATATTAAAGGTGCCTTTAGAGCAAGGACAACATTCTTTACCCACAGTTAATTGGACTATCTTAAACATCACTGATGCCGAGCACAGTGGCTCACTCCTTTAATCCCAGCACTTTGGGAGGCCGAGGCAGGTGAAGCACTTGAGGCCAGGAGTTCAAGACCAGCCTGACAAATACAGCAAAACCCCGTCTCTAGTAAAAATA</t>
  </si>
  <si>
    <t>ENST00000647211.1:c.2152+155G&gt;A</t>
  </si>
  <si>
    <t>EYS:c.2260-16881C&gt;G</t>
  </si>
  <si>
    <t>GGCACACATTTTTAAGCCTCATCGAGCTAATCAAAATTATAGAAATTTGTGTTCTTGATACAAATGTTTATACCACCTAAATCATTTTTTAATTAAGATATACTTACTCTTCGGTAATCTATTCAGAATTTGGTGGACTTGTTCTATATTTCTCTCTCTCTTTTTTTGAGGGTTGTTGGGGAGGAGACCTGGTCTTATTCTGTTGCCCAGGCTGGAGTACAATGGTGTGATCACAGCTCATTGCAGCCTCAAACTCCTGGGCTCAAGCGT</t>
  </si>
  <si>
    <t>ENST00000370621.7:c.2260-16881C&gt;G</t>
  </si>
  <si>
    <t xml:space="preserve">ZNF423:c.277+239C&gt;T </t>
  </si>
  <si>
    <t>TTTACAGTTAATGTCATTTTATTGTGGTGTCTTGGGTACCCTGTATCCGCCTTTTAAATACAATTAAAAATAAAAGCAACAGCTTTCCGGCAGGCAGGAATTAGATGGTGGTGCTCTGTCCCGGCCCCCTCTCCCTGCAAGCTGTGCTCTGGTACTCAGGCCATGAATGGGTGGATGTGCACCCTGAATTTCTGGAAGGCCTTTTGGAAACGCAGTAATTAAGAGGTTGTTAGTGCAAAGTTAAGCAGCTTAAGTGTGGAAAGCTGCATA</t>
  </si>
  <si>
    <t xml:space="preserve">ENST00000561648.5:c.277+239C&gt;T </t>
  </si>
  <si>
    <t>EYS::c.2024-64741A&gt;T</t>
  </si>
  <si>
    <t>TAACATAATTTCCTATGTTAAACATTAATGGGACCACACTTTTTTTTCCTATGATAAACAGTACGAATTTCAAAAAATAAGATAGTTACTTGTTTTGCTGAGATAAGACTGCAAATTAATATGTTACGTTTCAAGtCTATCAAATTTTCTCATTGACACGCTCTTCATAACTTTCACCTTATTATGTCTACCAATCCAGTGCATAAGCCCAATTAGGTCCCTGTCTTTGAAGACCTGTCTGAATTATAAACATTATTATTAGGAAAAAAC</t>
  </si>
  <si>
    <t>ENST00000370621.7::c.2024-64741A&gt;T</t>
  </si>
  <si>
    <t>EYS:c.-332-27447A&gt;G</t>
  </si>
  <si>
    <t>CATAGCTGCAACTTTGTGCTTTTTGCCCAAAATTTCCCCATTTTCCCACCTCCTCATTCTTCATAACAACTGTTTGCTCTCTGCTTCTAAGAGATGTACTGTTTTAGATTCCACATATAAGTGAGATCATGCACTgTTTTTCTCTCTGTGTCTGGCTTATTTCACTTAGCATAATGTCCTCCAGATTTACCTATGTTGTTTCAAATGGCAGGATTTCTTTGTTTTTTCAGGCTGAATAGTACGCCATTCTGTCTGTCTCTCTATGTTTGT</t>
  </si>
  <si>
    <t>ENST00000370621.7:c.-332-27447A&gt;G</t>
  </si>
  <si>
    <t>EYS:c.-332-46545A&gt;T</t>
  </si>
  <si>
    <t>AAATAACTTAAAATCTAATTAATCAGCTTTTAATCTTCAAGCATAATAAAAAATGGAATTTGGAATATGACCGAGGTTGCTGTCAAGACCAAATATTCTAATTTTTTAATACAGTGAACATATGATTGGTGTTGTCACATATCCTTAGTGTTTCCAAACATAACACACACACACACACACACACACACACACACACACATTCTATTGTTATCCATAGCCACAGTTATTTTTTTGAAAAATCTCCATATGAAATACTATTTGGAAAAGAAT</t>
  </si>
  <si>
    <t>ENST00000370621.7:c.-332-46545A&gt;T</t>
  </si>
  <si>
    <t>EYS:c.-332-46546G&gt;T</t>
  </si>
  <si>
    <t>TAAATAACTTAAAATCTAATTAATCAGCTTTTAATCTTCAAGCATAATAAAAAATGGAATTTGGAATATGACCGAGGTTGCTGTCAAGACCAAATATTCTAATTTTTTAATACAGTGAACATATGATTGGTGTTTACACATATCCTTAGTGTTTCCAAACATAACACACACACACACACACACACACACACACACACACATTCTATTGTTATCCATAGCCACAGTTATTTTTTTGAAAAATCTCCATATGAAATACTATTTGGAAAAGAA</t>
  </si>
  <si>
    <t>ENST00000370621.7:c.-332-46546G&gt;T</t>
  </si>
  <si>
    <t>EYS:c.-332-46569A&gt;T</t>
  </si>
  <si>
    <t>TAAATCATCTTTGAGCCATCCCTTAAATAACTTAAAATCTAATTAATCAGCTTTTAATCTTCAAGCATAATAAAAAATGGAATTTGGAATATGACCGAGGTTGCTGTCAAGACCAAATATTCTAATTTTTTAATTCAGTGAACATATGATTGGTGTTGACACATATCCTTAGTGTTTCCAAACATAACACACACACACACACACACACACACACACACACACATTCTATTGTTATCCATAGCCACAGTTATTTTTTTGAAAAATCTCCAT</t>
  </si>
  <si>
    <t>ENST00000370621.7:c.-332-46569A&gt;T</t>
  </si>
  <si>
    <t>EYS:c.-332-6455dup</t>
  </si>
  <si>
    <t>ATAAAGCATTGACATTAAGTAAAATTCATTAGTTAATATACTAATATTAATTCATTAATTGTGACAAATGTGTTATACTAATATGAAACATTAAAAATCATAGAAACTGGACAATATGGTACACATGAGAACATTCcGGCACTCTCTTCCTAATAACTTTGTAAATTTAAAACTCTACTAAATTTTTTTAACAAAATATGTATTTAAAAAGTTAATATAATAAAGATCCATGTGCAGGATTTTCTGGGATGTAATTTTTCAACTTCTTTG</t>
  </si>
  <si>
    <t>ENST00000370621.7:c.-332-6455dup</t>
  </si>
  <si>
    <t>EYS:c.-333+58105T&gt;G</t>
  </si>
  <si>
    <t>CCTTGCTACTAATTTTTTTATTTTTACAGATATTTATTTGTCATTTTTATAAATGATTTTCATTATTTACTAATGGGACTAATAAAAGCATGATGTATATACACATTTTTGGTTAGGTGAATATAGGTACTTATGTAAGTATTACAAGGATTTTGGTTAATAAGAGCATCACTAAGGAACTAAGATCATAGAGTTTACATAAAGCAATTAACAGTAACATTAAACATTAGGAGGGATTGTTGTAAAGCAACATTTTTGTTTCCCTCATTG</t>
  </si>
  <si>
    <t>ENST00000370621.7:c.-333+58105T&gt;G</t>
  </si>
  <si>
    <t>EYS:c.-447-15111C&gt;A</t>
  </si>
  <si>
    <t>TTTCATTTGTATTACACAAAATTAATAATACATTTTAATTATAAAAATGCATTGAGTTACTACAAATTCCTGTTATGAATAGAAAAGTAATTCTCATGAAGATATTTTATTCCTGCTCTAAAATCTTGGACAAAAATTTTTTTTTTTTTTTTTTTTTTTAATGAATGACCCAGACTCTTCAGGAAGACAAGCACATTTTAATTTGGACATATTTCCATATGTGAAACTTTGACTTACCTGTTTTAGAATATCTTTTAAAAACAAATTACC</t>
  </si>
  <si>
    <t>ENST00000370621.7:c.-447-15111C&gt;A</t>
  </si>
  <si>
    <t>EYS:c.-447-15115C&gt;A</t>
  </si>
  <si>
    <t>CCAATTTCATTTGTATTACACAAAATTAATAATACATTTTAATTATAAAAATGCATTGAGTTACTACAAATTCCTGTTATGAATAGAAAAGTAATTCTCATGAAGATATTTTATTCCTGCTCTAAAATCTTGGAAAAACATTTTTTTTTTTTTTTTTTTTTTTAATGAATGACCCAGACTCTTCAGGAAGACAAGCACATTTTAATTTGGACATATTTCCATATGTGAAACTTTGACTTACCTGTTTTAGAATATCTTTTAAAAACAAAT</t>
  </si>
  <si>
    <t>ENST00000370621.7:c.-447-15115C&gt;A</t>
  </si>
  <si>
    <t>EYS:c.-447-9245_-447-9244insT</t>
  </si>
  <si>
    <t>CAAACAAAACAAAACACATACAAAACTCTTGCTAGAATAAAGGAAATCATAGAAAATAGTTGGGTCTTGCAAGTAATGTCAATTTTTATTGTTTAAGTTTTTCTTTTTTCCTTTTTTTTTTTTTTTTTTTTTGTAGACAGAGTCTCGCTCTGTCGCACAGGCTGGAGTGCAGTGGCGCGATCTCAGCTCACTGGCCTCCCAGGTTCAAGTGATTCTCCTGCCTCAGCCTCCCGAGTAGCTGAGACTACAGGTGTGTGCCACCATGCCCAG</t>
  </si>
  <si>
    <t>ENST00000370621.7:c.-447-9245_-447-9244insT</t>
  </si>
  <si>
    <t>EYS:c.-448+17872G&gt;T</t>
  </si>
  <si>
    <t>ATCCCTCCCCCCTACCCCCACTCCACAACAGGCCCCAGTGTGTGATGTTCCCCTTCTTGTGTCCATGTGTTCTCATTGTTCAATTCCCACCTATGAGTGAGAACATGCGGTGTTTGGTTTTTTGTCCTTGCGATAtTTTGCTGAGAATGATGGTTTCCAGCTTCATCCATGTCCCTACAAGGGACATGAATTCATCCTTTTTTATGGCTGCATAGTATTCCATGGTGAATATGTACCACATTTTCTTAATCCAGTCTATCATTGTTGGAC</t>
  </si>
  <si>
    <t>ENST00000370621.7:c.-448+17872G&gt;T</t>
  </si>
  <si>
    <t>EYS:c.1599+1658G&gt;A</t>
  </si>
  <si>
    <t>AATTTGACTAATTTGATTAAATATCTGTGTAAGTTCTTAATGTTGACTAAATATTTAGAAATTGTAAACTTACACAATCATTTTAAGTTCTTATGATTTGTAGTATCATCAATAAAACATTCTAATACATCAGTATAGTAAAATTAGTAAGAATTCACAAGATTCAACCCTTTTAAATTATATCTGTTATTAAAATTTCGATTATATCAATTTTAGATTGTGTAATCAGACAATTTGAGGACATAATTATAGAATATTTCTCTTAAAGTT</t>
  </si>
  <si>
    <t>ENST00000370621.7:c.1599+1658G&gt;A</t>
  </si>
  <si>
    <t>EYS:c.1767-17621A&gt;G</t>
  </si>
  <si>
    <t>CTTGGAGGCTTTTGAGCAGAGGATAACTAACATGCTCTGACTTATGTATTGAAAAGACTGCTTTGACTGCTACATTGAGTACAGACTAAAGTTGGCTGAAAACAGAAGCAGGGAGACTAGTTAGGAGGCAATTACgAGGCCACGTAGGAGATGGGGTGGCCTGGGCCAGGTGTTTGCTGTGAAGATACTGAGAAGGGATCAGATTCTGGATATATTCTGAAGGTAGAGACAAAGGGTATTTAGTAGGTAGACTGTTATTTAGGTAGTTTG</t>
  </si>
  <si>
    <t>ENST00000370621.7:c.1767-17621A&gt;G</t>
  </si>
  <si>
    <t>EYS:c.2023+11869C&gt;A</t>
  </si>
  <si>
    <t>GAGCCCACAGCCACACAGGAAATGTGCCATTTCAATTCTTGGCAGGTGAGAAAGCAATCGCTCCAGAATCTTTCAACTCTTCCAGGAGTACTGGTGCATCGCTTTGATGGAAAACGTATATAACATTCAGTCAATaGAGTTTAGATCACGTAAGATTTTAATAGTGGCCACAGAAATGGCAAGAAGATTAAAATAAAAATAACCTACTATTTTGTAAGCAATTATTTAGATTGTTCAGATTTCTGCTCATACAAATTAATTCACTTAATA</t>
  </si>
  <si>
    <t>ENST00000370621.7:c.2023+11869C&gt;A</t>
  </si>
  <si>
    <t>EYS:c.2023+32973G&gt;A</t>
  </si>
  <si>
    <t>CTAAGTTATCTCCTTTTTATATGTTTTGATTGTTTACATTAATAACCATTTCTACTTCATAACAGACCCGAGTTATACAATGGACTTGGAAAAATATAATATCAATGACGGATCCAATGGCTTTATGATTATAAACAAGATGATCTATATGATGGACAGTTACTGAATAGAGTCCACCAATTATCCTCTTAATATGGGTGTCCCCTTAAAATCTTTTAAAGGTATTCTTTAAATATAGAGATACCTACATGAGCTTTAAATGAACCTAAC</t>
  </si>
  <si>
    <t>ENST00000370621.7:c.2023+32973G&gt;A</t>
  </si>
  <si>
    <t>EYS:c.2023+54332G&gt;T</t>
  </si>
  <si>
    <t>GGACTCCTTTAACTGATAAGCAAAGATACAATATATCATGGATGGAGGCTCCTGACATACCAGTTTTATCAAAGCAGAAATTGCAGATATAAATTATTATAAATAATTACAAAATGAAATTTTTGTAAAAATTATACCAGAGGGAAAAGAAAATTAGGTGGGTCTTGATTTTAAAAAAGTGGGTGTTGGAGTGGATTATGAGTTTTGATTATGCATCCAGCTCTGAAATGTTTATAAACTTGTTTGCTACTGACTCTTTAGTGCAGAATA</t>
  </si>
  <si>
    <t>ENST00000370621.7:c.2023+54332G&gt;T</t>
  </si>
  <si>
    <t>EYS:c.2023+70575A&gt;G</t>
  </si>
  <si>
    <t>GTTTTCTATGTTGAAACTCCTTGCATTTCTGGGATACATCCCCCTTGGTGAGGGTATACAATGTTTTTACCATTTTTAATATGCTGCTTTATATTTGCTATACTATATAATTATAATTATATATTATATTATAGGTTCAAATATTTTCAATACATTATAATTAGTTTTTAGTTTTCTTGTAAAAGTTTTTAGACTTAGTTTTGTTGATTATTATATTTCAATTCTCTGTATTTTTCTATATATTATACATATATTGAAAAGTTTTCTAAC</t>
  </si>
  <si>
    <t>ENST00000370621.7:c.2023+70575A&gt;G</t>
  </si>
  <si>
    <t>EYS:c.2024-104119C&gt;T</t>
  </si>
  <si>
    <t>TTTAACCAAATTTTCACATAGATTACTTGAGGTTATGGACCATGTGAGGAGGCGGGGAAACTAAAAATATTTCAATTTATACAGAAACCATCTGGATTTTAGAATGTTTGACCTAATTTTGTTGGCAAGTATACTtAGGCATAAATAAAGGATACTGAGATTTGATCTCTATTCTTTTACTTCCAAGTATTTCAAGTTTTTCTGTTACTACATATTGCTTCACAATACATATTCTTATTAGTTGTTTGTAAATGAATATAGTTCTGTATT</t>
  </si>
  <si>
    <t>ENST00000370621.7:c.2024-104119C&gt;T</t>
  </si>
  <si>
    <t>EYS:c.2024-104890A&gt;C</t>
  </si>
  <si>
    <t>GAGCACCTAAACACCAATGAGAATAATATAAGAAAAATTATCAGGATTATCAGGACTGTTTTTCTTAATAATATAAGAAAAACTATCAGGACATGGAAATATATTTATGTAATAGTTTTAAAGTAGCCAAAAAACTAAAATAAAATAAAATAGCCATAAAGTGGTAATCAGAATTAGTTAATTGAAAAATGGAAATTTATAACATTATATTCTTTTTGTTGTATGTAATGTACTATATGTGTCTAATATTAAAATATCAAAATGTAGACT</t>
  </si>
  <si>
    <t>ENST00000370621.7:c.2024-104890A&gt;C</t>
  </si>
  <si>
    <t>EYS:c.2024-116042A&gt;G</t>
  </si>
  <si>
    <t>TTTATTCTGTCAATGTAATTGTAGCATATTTATTTAAGATTTAGCCTTACTATGCAACTAAATTTCAAGTAACTCTAATCTATTACTTTAGTTTCAAGGTAATCAATTCCAGAATGTGCTATAACAATTTTGTTCgTACAACAGAATTACATCTATATATTCATATATTGTATCATAGGAGATTAAGCTGTATGTCAGATGATTTGCCAATGTTAAATCTGTTGGCAACATTCAGTAATGTCTTTGTTACTAAAATAAAAAGAAAAATGA</t>
  </si>
  <si>
    <t>ENST00000370621.7:c.2024-116042A&gt;G</t>
  </si>
  <si>
    <t>EYS:c.2024-56640_2024-56638del</t>
  </si>
  <si>
    <t>AATATCACTTTAGAGATGGAGAAATTTAAAAAAAAAAAATTAGTTTGGAAAGATTACCCAAATGTCTAGAATAAGAATGCCAGGATTTCAGTTCAAGTCCTTCTGGAACTAAAGATTCTGCTGCTGCTGCTGCTTTTTTTTTTTTCAAATCTACTTATGAGTTTTAATAAGAAAAAAATATGATATTCTATAAAAATGTAAGGCAAAGAAATATAGTTTGTTTTATTTCATAAGAGTTACATATATTTGGCATTTCTTTGTATTTTTATT</t>
  </si>
  <si>
    <t>ENST00000370621.7:c.2024-56640_2024-56638del</t>
  </si>
  <si>
    <t>EYS:c.2024-62257G&gt;T</t>
  </si>
  <si>
    <t>GTGCAGCGGCGCGATCTCGGCTCACTGCAAGCTCTGCCTGCCGGTTTTGCGCCATTCTCCTGCCTCAGCCTCCTGAGTAGCTGGGACTACAGGCGCCCGCCACCCCGCCCGGCGGCTAATTTTTTGTATTTTTATTAGAGACGGGGAGGGGGGGTAGGTTTCACGGTCTTAGCCAGGATGGTCTCGATCTCCTGACCTCGTGATCCGCCCACCTCGGCCTCCCAAAGTGCTAGAATTACAGGCTTTGTTTGCTTTTTGAGCCAGGGTCTT</t>
  </si>
  <si>
    <t>ENST00000370621.7:c.2024-62257G&gt;T</t>
  </si>
  <si>
    <t>EYS:c.2024-62258A&gt;T</t>
  </si>
  <si>
    <t>AGTGCAGCGGCGCGATCTCGGCTCACTGCAAGCTCTGCCTGCCGGTTTTGCGCCATTCTCCTGCCTCAGCCTCCTGAGTAGCTGGGACTACAGGCGCCCGCCACCCCGCCCGGCGGCTAATTTTTTGTATTTTTTGTAGAGACGGGGAGGGGGGGTAGGTTTCACGGTCTTAGCCAGGATGGTCTCGATCTCCTGACCTCGTGATCCGCCCACCTCGGCCTCCCAAAGTGCTAGAATTACAGGCTTTGTTTGCTTTTTGAGCCAGGGTCT</t>
  </si>
  <si>
    <t>ENST00000370621.7:c.2024-62258A&gt;T</t>
  </si>
  <si>
    <t>EYS:c.2024-81350G&gt;A</t>
  </si>
  <si>
    <t>CTTTATCTAGTCTACCATTGATGGGCATCTAGGTTGATTCCTTGCCTTTACTATTGTGAATAGTGCTGCGATGAACATATGTGTGCATGAGTCTTTATGGTAAAATAATTTATATTTCATTTGGGTATATCAGTAATGGGATTTCTGGGTTAAATGGTAATTCTGTTTTAAGTTCTTTGAGAAATCTCCAGAATGCTTTCCACAATGGCTGAACTAGTTTACATTCCCACTAGCAGTGCATAAGCATTCACTTTTCTCCACAACTTCGGC</t>
  </si>
  <si>
    <t>ENST00000370621.7:c.2024-81350G&gt;A</t>
  </si>
  <si>
    <t>EYS:c.2024-81355_2024-81354insACC</t>
  </si>
  <si>
    <t>TCTTTATCTAGTCTACCATTGATGGGCATCTAGGTTGATTCCTTGCCTTTACTATTGTGAATAGTGCTGCGATGAACATATGTGTGCATGAGTCTTTATGGTAAAATAATTTATATTTCATTTGGGTATATACCCAGTGATGGGATTTCTGGGTTAAATGGTAATTCTGTTTTAAGTTCTTTGAGAAATCTCCAGAATGCTTTCCACAATGGCTGAACTAGTTTACATTCCCACTAGCAGTGCATAAGCATTCACTTTTCTCCACAACTT</t>
  </si>
  <si>
    <t>ENST00000370621.7:c.2024-81355_2024-81354insACC</t>
  </si>
  <si>
    <t>EYS:c.2024-85663T&gt;C</t>
  </si>
  <si>
    <t>TTTTAATTTCCCAAAATAATATTTTTGTTATCTAAATCGAATAATTTTATTTTTTCAACTTGAATATTATTGGTTATAATAAATCTATATACTTACAGATATCACAGGAGGTTTTTTCTGGCCTCTTTACATTTCAATGCCCTTTATATCCCATTGATGACCACTGTTTTGAAGCTCTTTTCCACCACAAATTAGATTTGTTTGGTATAGAATTTTACATAAATTCAGTAATATACTATATCCTGTGGTACAAAAAAAAAAATCTTTCAG</t>
  </si>
  <si>
    <t>ENST00000370621.7:c.2024-85663T&gt;C</t>
  </si>
  <si>
    <t>EYS:c.2024-91692T&gt;A</t>
  </si>
  <si>
    <t>ACAGGTAGAGTTTGGAACAGTTTGGAGGGCTCAGAAGAAGACAGAAACTTGTGGAAAAGTTTGGAACTTCCTAGAGACATGTTGAATGGTTTTGACCAAAATGCTAATAGTGATTTGGACAATGAAGTCCAGTCAGAGGTGGTCTCAGATGGAGATGAGTTCTTAGGAGCTGGAGCAAAGGTAACTCTTGCTATGCCTTAGCAAATCATTTTGGTGACATTTTGCCCCTGCCCTAGAGATCTGTGGAACTTTGAACTTGGGAAGACATGA</t>
  </si>
  <si>
    <t>ENST00000370621.7:c.2024-91692T&gt;A</t>
  </si>
  <si>
    <t>EYS:c.2024-91694T&gt;C</t>
  </si>
  <si>
    <t>TAACAGGTAGAGTTTGGAACAGTTTGGAGGGCTCAGAAGAAGACAGAAACTTGTGGAAAAGTTTGGAACTTCCTAGAGACATGTTGAATGGTTTTGACCAAAATGCTAATAGTGATTTGGACAATGAAGTCCAGCCTGAGGTGGTCTCAGATGGAGATGAGTTCTTAGGAGCTGGAGCAAAGGTAACTCTTGCTATGCCTTAGCAAATCATTTTGGTGACATTTTGCCCCTGCCCTAGAGATCTGTGGAACTTTGAACTTGGGAAGACAT</t>
  </si>
  <si>
    <t>ENST00000370621.7:c.2024-91694T&gt;C</t>
  </si>
  <si>
    <t>EYS:c.2137+4111G&gt;T</t>
  </si>
  <si>
    <t>AACATTTGCTGGCCCCTGGTGTAGAAAATGATCAAACTATAACCTATAACCTATTTTTTGAGCTAATTGTGGCTTTCTGTTGATATAGTCCAAGTTTTGTCTATTAGATGCTTATTTGCATGAACATATATTTTTATAAAATGATGTCTATCTTTTTTATATAAGAAGTAGATGACTCTTACCCCATTGTACTAGGTTAGATTCATAACTGTTTCATTTTGAGTAAAATGTGTAGCATAATAATAATACATAACTTTATGAGTTTATGCA</t>
  </si>
  <si>
    <t>ENST00000370621.7:c.2137+4111G&gt;T</t>
  </si>
  <si>
    <t>EYS:c.2138-9269G&gt;C</t>
  </si>
  <si>
    <t>TCTTGACCACAAAAAAAGGGATCCAGGATGCTGGATTCTAGTGGTCCTTTACCAGCATGCCTAACATTGCCTTTGCACTCAGGGTGAGTCCTAGAGCTGGGCTGGGTTTCTGAGTATTTCACAACAACCCAGCTCCCCCATCAAGATGCATTCTTGTAAACAACAGTTCTTATGCAAATTCATTTCAGAGAGGGTGTAGCAAAACTTTTGAGTCTGGATTGAGATAGTCTTTTGATTCTGTAAGTACTTTAAGGCTTGGCTGAGTGCAAA</t>
  </si>
  <si>
    <t>ENST00000370621.7:c.2138-9269G&gt;C</t>
  </si>
  <si>
    <t>EYS:c.2138-9275C&gt;A</t>
  </si>
  <si>
    <t>CGCCTCTCTTGACCACAAAAAAAGGGATCCAGGATGCTGGATTCTAGTGGTCCTTTACCAGCATGCCTAACATTGCCTTTGCACTCAGGGTGAGTCCTAGAGCTGGGCTGGGTTTCTGAGTATTTCACAACAACACAGCTGCCCCATCAAGATGCATTCTTGTAAACAACAGTTCTTATGCAAATTCATTTCAGAGAGGGTGTAGCAAAACTTTTGAGTCTGGATTGAGATAGTCTTTTGATTCTGTAAGTACTTTAAGGCTTGGCTGAG</t>
  </si>
  <si>
    <t>ENST00000370621.7:c.2138-9275C&gt;A</t>
  </si>
  <si>
    <t>EYS:c.2259+13609G&gt;A</t>
  </si>
  <si>
    <t>TAATAATGGACACATTTCATCATATAAGAATCAGGATTTTCATTTTCTTTTGAATAATCAGATCTCGTAATTCCAGACGGGATTCTAATACAAACAGGATTCCTGGAGTTGAGTAGTCTCTGCCTACTTTAGACAaCGCTCTACTTTTCTGCTTCCTCACTTTGCTAAATAAAGATGCTCTATGCCAGGTGTTTAAGAGCTTGGTGGTTAAATGCTACAAAGTCATGTAAACTTGTGCCAAAGACTGGTCTTCTTTAGACTCATGGTTTT</t>
  </si>
  <si>
    <t>ENST00000370621.7:c.2259+13609G&gt;A</t>
  </si>
  <si>
    <t>EYS:c.2259+4209A&gt;G</t>
  </si>
  <si>
    <t>TGAGTGAGAACATGCAGGTTTGATTTTTTGTCCTTGCGGTAGTTTGCTGAGAATGATGGTTTCGAGCTTCATCCATGTTCCTACAAAGGACGTGAACTCATCATTTTTTATGGCTGCGTAGTAGTCCATGGTGTGTATATACCATTTGACCCAGCCATCCCATTACTGGGTATATACCCAGAGGATTATAAATCATGCTGCTATAAAGACACATGCACACGTATGTTTATTGTGGCACTATTCACAATAGCAAAGACTTGGAACCAACCC</t>
  </si>
  <si>
    <t>ENST00000370621.7:c.2259+4209A&gt;G</t>
  </si>
  <si>
    <t>EYS:c.2260-18843A&gt;G</t>
  </si>
  <si>
    <t>CTGGCTAACTTTTGTATTTTTAGTAGAGATGGGGATTTCACCATGTTGACCGGGCTGGTCTTGAACTCCTGACCTCAAGTGATCTGCCTGCCTTGGCCTCCCAATGTCCTGGGATTACAGGTGTGAGCAACTGCGCCCAGCCTATATAGAATTCATTTCAATGAACTCAATTTTATTAATGTTATTAATAGAAACTTTCCATACTTTTGCTTTTTAGGCAAAAAGACATATTTTATGTTATTTTGCATCCGCTAAAGAGCAAAGAATATA</t>
  </si>
  <si>
    <t>ENST00000370621.7:c.2260-18843A&gt;G</t>
  </si>
  <si>
    <t>EYS:c.2260-18846T&gt;A</t>
  </si>
  <si>
    <t>CACCTGGCTAACTTTTGTATTTTTAGTAGAGATGGGGATTTCACCATGTTGACCGGGCTGGTCTTGAACTCCTGACCTCAAGTGATCTGCCTGCCTTGGCCTCCCAATGTCCTGGGATTACAGGTGTGAGCAACAGCACCCAGCCTATATAGAATTCATTTCAATGAACTCAATTTTATTAATGTTATTAATAGAAACTTTCCATACTTTTGCTTTTTAGGCAAAAAGACATATTTTATGTTATTTTGCATCCGCTAAAGAGCAAAGAAT</t>
  </si>
  <si>
    <t>ENST00000370621.7:c.2260-18846T&gt;A</t>
  </si>
  <si>
    <t>EYS:c.2260-18849A&gt;C</t>
  </si>
  <si>
    <t>CCACACCTGGCTAACTTTTGTATTTTTAGTAGAGATGGGGATTTCACCATGTTGACCGGGCTGGTCTTGAACTCCTGACCTCAAGTGATCTGCCTGCCTTGGCCTCCCAATGTCCTGGGATTACAGGTGTGAGCCACTGCACCCAGCCTATATAGAATTCATTTCAATGAACTCAATTTTATTAATGTTATTAATAGAAACTTTCCATACTTTTGCTTTTTAGGCAAAAAGACATATTTTATGTTATTTTGCATCCGCTAAAGAGCAAAG</t>
  </si>
  <si>
    <t>ENST00000370621.7:c.2260-18849A&gt;C</t>
  </si>
  <si>
    <t>EYS:c.2260-18856T&gt;C</t>
  </si>
  <si>
    <t>TATGCCACCACACCTGGCTAACTTTTGTATTTTTAGTAGAGATGGGGATTTCACCATGTTGACCGGGCTGGTCTTGAACTCCTGACCTCAAGTGATCTGCCTGCCTTGGCCTCCCAATGTCCTGGGATTACAGGCGTGAGCAACTGCACCCAGCCTATATAGAATTCATTTCAATGAACTCAATTTTATTAATGTTATTAATAGAAACTTTCCATACTTTTGCTTTTTAGGCAAAAAGACATATTTTATGTTATTTTGCATCCGCTAAAG</t>
  </si>
  <si>
    <t>ENST00000370621.7:c.2260-18856T&gt;C</t>
  </si>
  <si>
    <t>EYS:c.2260-18870C&gt;G</t>
  </si>
  <si>
    <t>TGGGATTACAGGTGTATGCCACCACACCTGGCTAACTTTTGTATTTTTAGTAGAGATGGGGATTTCACCATGTTGACCGGGCTGGTCTTGAACTCCTGACCTCAAGTGATCTGCCTGCCTTGGCCTCCCAATGTGCTGGGATTACAGGTGTGAGCAACTGCACCCAGCCTATATAGAATTCATTTCAATGAACTCAATTTTATTAATGTTATTAATAGAAACTTTCCATACTTTTGCTTTTTAGGCAAAAAGACATATTTTATGTTATTT</t>
  </si>
  <si>
    <t>ENST00000370621.7:c.2260-18870C&gt;G</t>
  </si>
  <si>
    <t>EYS:c.2260-18884T&gt;C</t>
  </si>
  <si>
    <t>GCCTCCTGAGTGGCTGGGATTACAGGTGTATGCCACCACACCTGGCTAACTTTTGTATTTTTAGTAGAGATGGGGATTTCACCATGTTGACCGGGCTGGTCTTGAACTCCTGACCTCAAGTGATCTGCCTGCCTCGGCCTCCCAATGTCCTGGGATTACAGGTGTGAGCAACTGCACCCAGCCTATATAGAATTCATTTCAATGAACTCAATTTTATTAATGTTATTAATAGAAACTTTCCATACTTTTGCTTTTTAGGCAAAAAGACAT</t>
  </si>
  <si>
    <t>ENST00000370621.7:c.2260-18884T&gt;C</t>
  </si>
  <si>
    <t>EYS:c.2260-18893T&gt;C</t>
  </si>
  <si>
    <t>TGTGCCTTAGCCTCCTGAGTGGCTGGGATTACAGGTGTATGCCACCACACCTGGCTAACTTTTGTATTTTTAGTAGAGATGGGGATTTCACCATGTTGACCGGGCTGGTCTTGAACTCCTGACCTCAAGTGATCCGCCTGCCTTGGCCTCCCAATGTCCTGGGATTACAGGTGTGAGCAACTGCACCCAGCCTATATAGAATTCATTTCAATGAACTCAATTTTATTAATGTTATTAATAGAAACTTTCCATACTTTTGCTTTTTAGGCA</t>
  </si>
  <si>
    <t>ENST00000370621.7:c.2260-18893T&gt;C</t>
  </si>
  <si>
    <t>EYS:c.2847-4079T&gt;C</t>
  </si>
  <si>
    <t>TGAACAGGCATCTGTGGTTTAACAGATTCTTGAAATTTAATAATGTTTGGAATTTATGTAAAAGTAAAGCATATTTTTGCAATGTTGAAAAGTTCAGATTTCAGGAGTAGTGTAGAAAGTAAGAAAAAATAATGGcCTTGATTGAAAGCAAAAAGGAAAGAGAGGTTATTGAAGTAGAAGCAAAGCATTCTTAGAAGAAAGGATCATTATGATTCATATTATTAAAAACAATTCTTCACATAGTTGTCTGTATGCCAAAAACTTTAGAAA</t>
  </si>
  <si>
    <t>ENST00000370621.7:c.2847-4079T&gt;C</t>
  </si>
  <si>
    <t>EYS:c.2992+22288G&gt;T</t>
  </si>
  <si>
    <t>CATGGTGGCGTGTGCCTGTAATCCCAGCTACTCAGGAGGCTGAGGCAGGAGAATCACTTGAACCAGGGAGTTGGAGGTTGCAGTGAGCCGAGATTGCACCACTGCACTCCAGCCTGGTGACAGAGCAAGATTCTTTCAAAAAAAAAAAAAAAAAAAAAGAAGGTATAGCACCTCTGTATTTCTCAAAATTATTTTTGCCTTCTCAATAGCACTTGTGCCAACTTAGCTCTGATTTGGCCTATGAAACTCTCTTTTAATATAAATCTAAAA</t>
  </si>
  <si>
    <t>ENST00000370621.7:c.2992+22288G&gt;T</t>
  </si>
  <si>
    <t>EYS:c.2992+31191G&gt;A</t>
  </si>
  <si>
    <t>AACTCTTAATAATGTATCAATATTGGATCATCATTGTGGTTAATGTACCACACTAATATTAGACATTCATAATAGGAGAAAATATGTATAGGGGAAATAAGGTATCTCTCAATTTTTCTGTAAACCCCTAAACTATTCTAAAACTAATACAAAACTGTTCTAAAAATAGTATACTCAATACAAAATAACAATATCAGAGATGAAAAATTCTTTTGGAATAAAAGCGAAAAATAAGAAAAAAACTAGAGAAAAGGAAAACTGAACAGAACA</t>
  </si>
  <si>
    <t>ENST00000370621.7:c.2992+31191G&gt;A</t>
  </si>
  <si>
    <t>EYS:c.2993-24079C&gt;G</t>
  </si>
  <si>
    <t>ATTGGATGATGGGCATTCATTCACACTGGGGAGGATAATATGCTTTACTCAGTTTACAGATTTGAATGATAGTCTCACCTGGAAACACCTTCACATACACACCCAGAAATAGTTGTTAACCAGGTATTTAAACACgCTGAGGTCCAGTCAAGTGAACACATGCAATGATTAATTATGTGGCCTTATTTTACTTTTTGAGTAAACTAATAAAAAACAATAATTTATTTCATAATAGTTGCATATAGATAATGAAATACTTCCCCTAAATTC</t>
  </si>
  <si>
    <t>ENST00000370621.7:c.2993-24079C&gt;G</t>
  </si>
  <si>
    <t>EYS:c.2993-25148C&gt;G</t>
  </si>
  <si>
    <t>TTGTAATGAGCTCAGAATCTTATACATAAATAATTCGACCCAATGTGGTAGCTATAAGAACATATTTATAGACAAATAAACTATCTATACTACTGTATTAGGAAAATATGCAAAAACAGAATGGCACACATATTGAGATTCAAAGGAAAATACATTGTCACAATTGGAGAAGGTAGGAAGGAAGCGCCCAAAATATTTCAAGTGTGGCATTTCCAATCAGCATTGATAGATGTAATTAGGGTTCCACTCTACAAATTGTTCACAGTGAGG</t>
  </si>
  <si>
    <t>ENST00000370621.7:c.2993-25148C&gt;G</t>
  </si>
  <si>
    <t>EYS:c.3443+13624T&gt;G</t>
  </si>
  <si>
    <t>CCATTTCTGTAGAAATAGACATTCACTTTGCTTACTCTAAAGAAACTGCAGATTAAACTGTCCAATTCTACTTTATTTATGTAGATATTCAGATACTTAAATATGTGAAAAATTTTAAAACTATAAATGTTTTCTgTTGGCTCCTGTAACATTTTTTATTTGAGATAGAGAGATACAGACATAGGTATAAATGTATTAATTATATATGTACTTATATATATTATAGATAGATATAATATATATCATATATTCAGAATAGCACAGGTATAG</t>
  </si>
  <si>
    <t>ENST00000370621.7:c.3443+13624T&gt;G</t>
  </si>
  <si>
    <t>EYS:c.3443+14731G&gt;T</t>
  </si>
  <si>
    <t>ATCCTGAGCATTTATGCAATAATCATCATCTCCAGTTCAAGTGGGAAGAGAGTTATGGAAGGAAGGAGACTAAGGATCTCCTCCACTTGGACTGGAGACAATGAGTTCAACTCACCAGGAGTTATTAATGCAATTTTTTTTAAGCTAATGATGCAAAAAAAAAAAAAAAAAAAACCAGAAACAAAGAAACAGGCAGAATGAATCTTCAAACCAGGTCTGTAGGCCTAGGAACATAGTCAATTTTAGAATTAATATGCACAGAACTACATG</t>
  </si>
  <si>
    <t>ENST00000370621.7:c.3443+14731G&gt;T</t>
  </si>
  <si>
    <t>EYS:c.3444-14156A&gt;T</t>
  </si>
  <si>
    <t>GTGTCCATGTGTTCTCATTGTTCGATTCCCATCTATGAGTGAGAACATGTGGTGTTTGGTTTCTTGTCCTTGCGATAGTTTACTGAGAATGATATTTCCAATTTCATCCATGTCTCTACAAAGGACATGAACTCTTCATTTTTATGGCTGTATATAGTATTCCATGGTGTATATGTGCCACATTTTCTTAATCCAGTCTATCATTGTTGGACATTTGGGTTGGTTCCAAGTCTTTGCTATTGTGAATAGTGCCGCAATAAACATACATGT</t>
  </si>
  <si>
    <t>ENST00000370621.7:c.3444-14156A&gt;T</t>
  </si>
  <si>
    <t>0,G</t>
  </si>
  <si>
    <t>EYS:c.3444-26759G&gt;T</t>
  </si>
  <si>
    <t>CATTTCTCTCCATTTAGCCCAATTTTCTGATTTTAATTAGGGATACCAGTCAGATTGCATTAGAGTCCACTCTAATAACCCCATCTTACTTTCATCGGCAAAGATCCTATTTCTAAATAACGTTACATACGGGGTTACTGAGAATTAGGACTTCAAATATCCTTTTCTGAGAGACAGAATTCAACCCCTAATGAATAATATGCAATGCAAAACTGTGCGAATGTATGTAAAATGCACAAACACACACACACATATGTACACACACACGGA</t>
  </si>
  <si>
    <t>ENST00000370621.7:c.3444-26759G&gt;T</t>
  </si>
  <si>
    <t>-19,A</t>
  </si>
  <si>
    <t>EYS:c.3444-5342C&gt;T</t>
  </si>
  <si>
    <t>TGGAGAATTGCTTTGTTATGTGCCTCATAATTTATCTTAATAAATGAACCAAGTGCTGTTTTTGGAGTGGTAAAATCTATAAAACTCCCATGGAAAAGACCAACAAGGAGACATGGGCTCTGCATTATCGTTAATGAACAGAAACAAGTGAAGAAAATAATGGAAAATAAATACTACTATGATGGGCTTAATAAATGTGAAATAAAAGCAGCTGTATCAAAGGAACAGTATCAGCAACAATAGTGAGGGCCTAAAGGAGGATTTTCAGGA</t>
  </si>
  <si>
    <t>ENST00000370621.7:c.3444-5342C&gt;T</t>
  </si>
  <si>
    <t>EYS:c.3444-60262G&gt;A</t>
  </si>
  <si>
    <t>AGCCTCCCGAGTAGCTGGGACTACAGGGGCCGGCCACCATGGCCCGCTAAATTTTTGTATTTTTAGTAGAGACGGGGTTTTACCGCATTAACCAGGATGGTCTCGATCTCCTGACCTCGTGATCCGCCCGCCTCAGCCTCCCAAAGAGCTGGGATAACACGCGTGAGCCACCGCGCTCACCCTATTATAATCATTTTAATATTTATATAATTCTATTTCATTTATCATATTGGTAATGTTTGTTTTATTTCCTTTTTACTTCATCAGTAT</t>
  </si>
  <si>
    <t>ENST00000370621.7:c.3444-60262G&gt;A</t>
  </si>
  <si>
    <t>EYS:c.3444-64520G&gt;A</t>
  </si>
  <si>
    <t>TGCACCCATTAATGCATCATTTACATTAGGTATATCTCCTAATGCTATCCCTCCCCGCTCCCCCCACCCCAGGACAGGCCCCAGTGTGTGATGTTCCCCATCCTTTGTCCAAGTGTTCTCATTATTCAATTCCCACCTATGAGTGTGAACATGCGGTGTTTGGTTTTCTGTCCTTGCGCGAGTATGCTCAGAATGATGGATTCCAGCTACATCCATGTCCCTACAAAGGACATAAACTCATCCTTTTTATGGCTGCATAGTATTCCATGT</t>
  </si>
  <si>
    <t>ENST00000370621.7:c.3444-64520G&gt;A</t>
  </si>
  <si>
    <t>EYS:c.3444-64526A&gt;G</t>
  </si>
  <si>
    <t>GTGTGCTGCACCCATTAATGCATCATTTACATTAGGTATATCTCCTAATGCTATCCCTCCCCGCTCCCCCCACCCCAGGACAGGCCCCAGTGTGTGATGTTCCCCATCCTTTGTCCAAGTGTTCTCATTATTCAGTTCCCGCCTATGAGTGTGAACATGCGGTGTTTGGTTTTCTGTCCTTGCGCGAGTATGCTCAGAATGATGGATTCCAGCTACATCCATGTCCCTACAAAGGACATAAACTCATCCTTTTTATGGCTGCATAGTATT</t>
  </si>
  <si>
    <t>ENST00000370621.7:c.3444-64526A&gt;G</t>
  </si>
  <si>
    <t>EYS:c.3444-64531A&gt;G</t>
  </si>
  <si>
    <t>TGTTGGTGTGCTGCACCCATTAATGCATCATTTACATTAGGTATATCTCCTAATGCTATCCCTCCCCGCTCCCCCCACCCCAGGACAGGCCCCAGTGTGTGATGTTCCCCATCCTTTGTCCAAGTGTTCTCATTGTTCAATTCCCGCCTATGAGTGTGAACATGCGGTGTTTGGTTTTCTGTCCTTGCGCGAGTATGCTCAGAATGATGGATTCCAGCTACATCCATGTCCCTACAAAGGACATAAACTCATCCTTTTTATGGCTGCATA</t>
  </si>
  <si>
    <t>ENST00000370621.7:c.3444-64531A&gt;G</t>
  </si>
  <si>
    <t>EYS:c.3444-64535C&gt;T</t>
  </si>
  <si>
    <t>GCCATGTTGGTGTGCTGCACCCATTAATGCATCATTTACATTAGGTATATCTCCTAATGCTATCCCTCCCCGCTCCCCCCACCCCAGGACAGGCCCCAGTGTGTGATGTTCCCCATCCTTTGTCCAAGTGTTCTTATTATTCAATTCCCGCCTATGAGTGTGAACATGCGGTGTTTGGTTTTCTGTCCTTGCGCGAGTATGCTCAGAATGATGGATTCCAGCTACATCCATGTCCCTACAAAGGACATAAACTCATCCTTTTTATGGCTG</t>
  </si>
  <si>
    <t>ENST00000370621.7:c.3444-64535C&gt;T</t>
  </si>
  <si>
    <t>EYS:c.3444-64543A&gt;T</t>
  </si>
  <si>
    <t>ATACATGTGCCATGTTGGTGTGCTGCACCCATTAATGCATCATTTACATTAGGTATATCTCCTAATGCTATCCCTCCCCGCTCCCCCCACCCCAGGACAGGCCCCAGTGTGTGATGTTCCCCATCCTTTGTCCATGTGTTCTCATTATTCAATTCCCGCCTATGAGTGTGAACATGCGGTGTTTGGTTTTCTGTCCTTGCGCGAGTATGCTCAGAATGATGGATTCCAGCTACATCCATGTCCCTACAAAGGACATAAACTCATCCTTTT</t>
  </si>
  <si>
    <t>ENST00000370621.7:c.3444-64543A&gt;T</t>
  </si>
  <si>
    <t>EYS:c.3444-64550T&gt;G</t>
  </si>
  <si>
    <t>CATATGTATACATGTGCCATGTTGGTGTGCTGCACCCATTAATGCATCATTTACATTAGGTATATCTCCTAATGCTATCCCTCCCCGCTCCCCCCACCCCAGGACAGGCCCCAGTGTGTGATGTTCCCCATCCTGTGTCCAAGTGTTCTCATTATTCAATTCCCGCCTATGAGTGTGAACATGCGGTGTTTGGTTTTCTGTCCTTGCGCGAGTATGCTCAGAATGATGGATTCCAGCTACATCCATGTCCCTACAAAGGACATAAACTCA</t>
  </si>
  <si>
    <t>ENST00000370621.7:c.3444-64550T&gt;G</t>
  </si>
  <si>
    <t>EYS:c.3444-64555A&gt;T</t>
  </si>
  <si>
    <t>TGCTACATATGTATACATGTGCCATGTTGGTGTGCTGCACCCATTAATGCATCATTTACATTAGGTATATCTCCTAATGCTATCCCTCCCCGCTCCCCCCACCCCAGGACAGGCCCCAGTGTGTGATGTTCCCCTTCCTTTGTCCAAGTGTTCTCATTATTCAATTCCCGCCTATGAGTGTGAACATGCGGTGTTTGGTTTTCTGTCCTTGCGCGAGTATGCTCAGAATGATGGATTCCAGCTACATCCATGTCCCTACAAAGGACATAA</t>
  </si>
  <si>
    <t>ENST00000370621.7:c.3444-64555A&gt;T</t>
  </si>
  <si>
    <t>EYS:c.3568+3545del</t>
  </si>
  <si>
    <t>TTCAGTTGTGGAAATCTTTCTTACATTCATATTATGTTGCTAATTATCAAAATACTCTTGTCTTTATCTAACAACAACTCCATGGTTGTCATCCTGGGTAACTCCACCTCTATGCCAAAAGGTTTTATCTCTTTCTCCCTTCCCTCTTCATTTTAGTACAAACAGAGCTGTGTGAATCCTGCAACATTCTGAACAGAGCACAGTTTGAAAAACTAAATACTGTTTTCCCCACCAGACAGTCTGCAAAACACACTGAAATTTAACCTGGAT</t>
  </si>
  <si>
    <t>ENST00000370621.7:c.3568+3545del</t>
  </si>
  <si>
    <t>EYS:c.3569-2142_3569-2138del</t>
  </si>
  <si>
    <t>TCCTGTACTCCGGGGGCTGAGGTGAGAGGATTGCTTGAACCCAGGAGGTTGAGGCTGCAGTGATGTGTGATCATACCCCTGCACTCCAGCCTGGGCACCAGTGCAAGACCCTGTCTCAAAAACAAAACAAAACAGCAAAAACAACAACAATGAAAGACAAAACAAAACAAATGTAACCCTGGAACGAGACAAATAGTGCCCCTATTTCCCAGTCTCTTTGGGAGAGTAGAAGCCTAACTTCAGTAAGAGACAGCAAGTACAGGTGGCCTA</t>
  </si>
  <si>
    <t>ENST00000370621.7:c.3569-2142_3569-2138del</t>
  </si>
  <si>
    <t>EYS:c.5644+45841T&gt;G</t>
  </si>
  <si>
    <t>CTCCAGCTTCTGTTCAGGGACTGGTGCTACTTCAAGTGACACCACAATTTTCCTTTCTCTCTCCAGTCTAGGAGTGCTAGATGGTTTCCTGCAGTTCCTAATATGTATGTTCCTTTACTGTGTTCTGACTGGTCCgCAGCTCCTTCTTTACCATCTTAACCAAATCTTTGATCTGAATTCACTTAATTGCAACACTTTCTTTCCCTGATTGTGCCTTGACTGAAACAGTCAGTGTGCAACTACATATACTATTATAGCTATTTCTGTCAA</t>
  </si>
  <si>
    <t>ENST00000370621.7:c.5644+45841T&gt;G</t>
  </si>
  <si>
    <t>EYS:c.6078+25700T&gt;A</t>
  </si>
  <si>
    <t>AAGTCTAGCCCACATACACCTGTGGTCCCAGCTCTTCTGGAGGTTAAGGTGGGAGGATTGCTTGAGCCTGGGAGACCAAGGCTGCAGTAGTGAGCCATGATCACACACTGCACAAAAAAAAAAGAAAGAGAAAAAGAAAGAAAATGAAACAGAAAAAGAAGGAAAGAAGGAAAAAGAAAGGAAAGAGAAAGAAAGAAAATTGACAAGGATATTCACATGATAGGCACTTTAAAAGAGAATGATGTAAATTTTAACAGATTAAATGAAGCT</t>
  </si>
  <si>
    <t>ENST00000370621.7:c.6078+25700T&gt;A</t>
  </si>
  <si>
    <t>EYS:c.6078+25701G&gt;A</t>
  </si>
  <si>
    <t>AGTCTAGCCCACATACACCTGTGGTCCCAGCTCTTCTGGAGGTTAAGGTGGGAGGATTGCTTGAGCCTGGGAGACCAAGGCTGCAGTAGTGAGCCATGATCACACACTGCACAAAAAAAAAAGAAAGAGAAAATAAAAGAAAATGAAACAGAAAAAGAAGGAAAGAAGGAAAAAGAAAGGAAAGAGAAAGAAAGAAAATTGACAAGGATATTCACATGATAGGCACTTTAAAAGAGAATGATGTAAATTTTAACAGATTAAATGAAGCTC</t>
  </si>
  <si>
    <t>ENST00000370621.7:c.6078+25701G&gt;A</t>
  </si>
  <si>
    <t>EYS:c.6191+6859A&gt;C</t>
  </si>
  <si>
    <t>TCCCCACTACCAAGCTTTTTCTTCCACCCATCACAAACTTGGCCACGTGGCTCCAGCCTCTAATGCCTTTTCTTATTTTTTTATAAGCATTAAAATAAATGGGTTTATATACCTGATTGCCTTGTTGATCTTGCCTTACCAGGTAGGCTAAGAACTCCCCTTCTAATGCCACTTGCCTAAGATAGGGTCCCATAACTAGGGTATCCCTTGTCTTTTTCCCAATTTATTAGAGGAGGGGACTCAGGCAAACCTCCATTTCCTCTTTGTTAT</t>
  </si>
  <si>
    <t>ENST00000370621.7:c.6191+6859A&gt;C</t>
  </si>
  <si>
    <t>EYS:c.6192-1042C&gt;A</t>
  </si>
  <si>
    <t>ATCAGTTGGGGAATGTTTGAAGTGACTTCTTTTGCTAAGGTTTTATCTTTATGACAAGGTATAAAATAAAAATTTATTATGTTTAATTGTTGATTTTTATTGCACAAGGTTTTTTACATTAAAAAGATAATTATATCATTATTATATTAAGTGAAATTCTAAAAACCTTCCCAGACAGTATATGAAACTCATGAGTATGCTGAACACATTAATTCAACAAATTTTCTTAAGTATTATGAATAAAGATTTCTGATAAAATGAGAAACTTTT</t>
  </si>
  <si>
    <t>ENST00000370621.7:c.6192-1042C&gt;A</t>
  </si>
  <si>
    <t>EYS:c.6192-25614G&gt;C</t>
  </si>
  <si>
    <t>TTGTCTTTTTTTCACTGCAGCTTAGCAATAAAAAGAAAACTGGTAGTGTTGAAAGACAATAGTAGCCAAATCCACAGGAGCTGCTTAAATGAAATATCAAGCACTACCTCTTCAGTATAAGTGGTTTCCACATACCCATCCATTGTGAACCCCTAGTAGGCTGAAGCAAAGTGTCTAATGAATTAGTATGCTTACTCCTACATCTAAAATCAGTCATATGAAGAAGGTCCTGAAAGCAACCACAATGAAGCATGAGCAGATGTTCACTTT</t>
  </si>
  <si>
    <t>ENST00000370621.7:c.6192-25614G&gt;C</t>
  </si>
  <si>
    <t>EYS:c.6424+20645T&gt;C</t>
  </si>
  <si>
    <t>ATGTAGAAAGTAAGTTGTAACCTACACATAGGGAACACCAAAATTTAGCGTTACATGCGGAAAAGGACAAATAAAGAGACAGAAGATTAAGGAGTTATTAAACAGGCAGGCAATAAACTAGAGTAGAAATACCACAAAGGAAGTCAAAGAGAGAGAGGTTCAGGGCTCATGACACGTCATTGTGTAAAATACAAAGATCCAGAAAAATAAAAGTATAGAAATGATACTGGACTTTCCATTAAAAAACAGAGCCACAACCAGACTGTCAGG</t>
  </si>
  <si>
    <t>ENST00000370621.7:c.6424+20645T&gt;C</t>
  </si>
  <si>
    <t>EYS:c.6424+47349C&gt;T</t>
  </si>
  <si>
    <t>GACAGGCTGATAGAGAAGGGCACACACATGAGTAGGGCACTAATCTAGCTGGAGGATCAGATCTGTATTAGTCCATTCTCATGCTGCTAATAAAGACATACTTGAGACTGGGTAATTTATAAAGGAAAGAGGTTTAATTAACTCACAGTTCCGCATGTGTGGGGAGGCCTCAGGAAACTTACAATCATAGTGGAAGGGGAAGCAAACATGTCCTTCTTCACATCGTGGCAGGAGGGAGAAGAATGAATGCCCAGAGAAGAGGGAAGCCCC</t>
  </si>
  <si>
    <t>ENST00000370621.7:c.6424+47349C&gt;T</t>
  </si>
  <si>
    <t>EYS:c.6425-10764G&gt;T</t>
  </si>
  <si>
    <t>CTTAAATGTTAGACCTAAAACCATAAAAACCCTAGAAGAAAACCTAGGCAATACCATTCAGGACATAGGCATGGGCAAGGACTTCATGTCTAAAACACCAGAAGCAATGGCAACAAAAGCCAAAATTGACAAATTGGATCTAATTAGACTAAAGAGCTTCTGCACAGCAAAAGAAACTACCATCAGAGTGAACAGGCAACCTACAAAATGGGAGAAAATTTTTGCAATCTACTCATCTGACAAAGGGCTAATATCCAGAATCTACAATGT</t>
  </si>
  <si>
    <t>ENST00000370621.7:c.6425-10764G&gt;T</t>
  </si>
  <si>
    <t>EYS:c.6425-11728C&gt;T</t>
  </si>
  <si>
    <t>GGCAAAAACTGGAAGCATTCCCTTTGAAAACCGGCACAAGACAGGGATGACCTCTCTCGCCACTCCTATTCAACATAGTGTTGGAAGTTCTGGCCAGGGCAATCAGGCAGCAGAAGGAAATAAAGGGTATTCAATTAGGAAAAGAGGAAGTCAAATTGTCCCTGTTTGCAGATGACATGATTGTATATCTAGAAAACCCCATCATCTCAGCCCAAAATCTTCTAAAGCTGATAGGCAACTTCAACAAAGTCTCGGGATACTAAATCAATG</t>
  </si>
  <si>
    <t>ENST00000370621.7:c.6425-11728C&gt;T</t>
  </si>
  <si>
    <t>EYS:c.6425-26439C&gt;A</t>
  </si>
  <si>
    <t>GAAAATTGCTTTCCTTTTACGGAGGCTTAAAGATTCAGCTATCTTCTCAAAAAAAAAAAAAAAAAAAAGCAGTAGTGGACTTCTGATTTCCAGTCCATTATGTAAGGAGCTTGGAAGTCACCATTCTGTCATAAAAAGCAAAAAGCTGAACAATCTAAAAAAACAAAAACTTTAATGAGCTCCATCAGAGAAGTAATGTCACAAGGCAAACAACAGCCCTCAACATTGGAAAAACAGCCAGCTGAATACAGAGAATTATAATTTATTGGA</t>
  </si>
  <si>
    <t>ENST00000370621.7:c.6425-26439C&gt;A</t>
  </si>
  <si>
    <t>EYS:c.6425-57628C&gt;G</t>
  </si>
  <si>
    <t>ACTCCTGACTTCGTGATCCTTCCACCTCGGCCTCCCAAAGTGCTGGGATTACAGACGTGAGCCACCGTGCCCAGCCTCCCATTTATTTATTTACTTATCAAATATTTAATACAGCTAACTCTATGCCATCTCTGGTCAACTCTTCAATGCCCATATTGATAACCTTTCTAGCACATTAGACTTCAGTGACAAAATCTTATCCCTTTTAAATATGTGGAGCTTTTCAAAACTAAAATCTCAAGATCAGAAATCACTTTCTGACTATAACTT</t>
  </si>
  <si>
    <t>ENST00000370621.7:c.6425-57628C&gt;G</t>
  </si>
  <si>
    <t>EYS:c.6425-9524C&gt;A</t>
  </si>
  <si>
    <t>GCACGAGTCATGTTCTCAGTGCCTGATCCACCCAGCCATGATGGGAACAAGTCTGGGGACCATCAACGTAGAGGCCTGGGTCATAGCACGCAGCAGCTTAATTGTAGCTTCACATGTGAAGTCAGTCCTGCATGCaCTTTCTTAATAAAACTCTGCAAACATATTTTGCAAAATATTACTCATGTACCCTCAATAAAAAACAGAACAGAGTGGAACACTTTTAATTAAAGCATCACAGCAGCCCAGACCCTTGCTGGCTTTCTCTGTCTC</t>
  </si>
  <si>
    <t>ENST00000370621.7:c.6425-9524C&gt;A</t>
  </si>
  <si>
    <t>EYS:c.6571+6760C&gt;G</t>
  </si>
  <si>
    <t>TGCTGTAAGCTGTCTTAAAATCATGAGCAACTGCTGCTGAGGTTGCTACTGGAATTACTGCTGTATACAAATCCAGACCTTTAGGGGGAACCAGGAAAGAGGAATTCTAAAACTACAGAAGAAACATCTGTGTTGCAACAGAGATCTCAATGCAAGATAACCAAACAGTCTTTATCATATGTCATGAAGCAGCACCAGGATAAACAGATCATCTGACTGCTCCCACAGGTAGCCCTGATTGAAACGTCAGTAGATAACCAAGGATAGATT</t>
  </si>
  <si>
    <t>ENST00000370621.7:c.6571+6760C&gt;G</t>
  </si>
  <si>
    <t>EYS:c.6834+6979T&gt;C</t>
  </si>
  <si>
    <t>ATTTATTTACACACCATGATTACAGTATTACAGTATTCTATATTTGTATACATACCTACCATTTTTAGCCAGCTTTATACTTTCAGAAGTTTTTGTGTTGTTGTCTAGTATTCTTCTATTTCAACTGGAAAAACCTCCTTTAGCATTTCTTGTAAGGAACATGTAATGATTAAATTCCTCAGTTTTTGTTTATGGGGAAAGTCTTTATGTCTTCTTCATTCTTGGAGGACAGTTTTGGCAAATACAGTATTCTTGGTTTGCAGGTTCCTT</t>
  </si>
  <si>
    <t>ENST00000370621.7:c.6834+6979T&gt;C</t>
  </si>
  <si>
    <t>EYS:c.6835-1983T&gt;A</t>
  </si>
  <si>
    <t>AGCTCCCACTGATAAGTGAGAATCATGCTGCATTTGGTTTTCCGATCCTTCATTAGTTTGCTGAGGATAATGGCCTCCAGCTCCATCCATGTGTCCACAAAAGCCATGATCTCATTCTTTTTTATGGCTGCATAATATTCCATCCATGGTGTATATGTACCACATTTTCTTTATCCAGTCTGTCACTGATGGGCATTTAGGTTGATTCCATATCTTTGCTATTATGAATAGTGCTGAAATGAACATTCAGGTGCGTGTGTCTTTATGGTA</t>
  </si>
  <si>
    <t>ENST00000370621.7:c.6835-1983T&gt;A</t>
  </si>
  <si>
    <t>EYS:c.6835-1998T&gt;C</t>
  </si>
  <si>
    <t>AAGCTCCCATCATTTAGCTCCCACTGATAAGTGAGAATCATGCTGCATTTGGTTTTCCGATCCTTCATTAGTTTGCTGAGGATAATGGCCTCCAGCTCCATCCATGTGTCCACAAAAGCCATGATCTCATTCTTCTTTATGGCTGCATATTATTCCATCCATGGTGTATATGTACCACATTTTCTTTATCCAGTCTGTCACTGATGGGCATTTAGGTTGATTCCATATCTTTGCTATTATGAATAGTGCTGAAATGAACATTCAGGTGCG</t>
  </si>
  <si>
    <t>ENST00000370621.7:c.6835-1998T&gt;C</t>
  </si>
  <si>
    <t>EYS:c.6835-2000T&gt;C</t>
  </si>
  <si>
    <t>ATAAGCTCCCATCATTTAGCTCCCACTGATAAGTGAGAATCATGCTGCATTTGGTTTTCCGATCCTTCATTAGTTTGCTGAGGATAATGGCCTCCAGCTCCATCCATGTGTCCACAAAAGCCATGATCTCATTCCTTTTTATGGCTGCATATTATTCCATCCATGGTGTATATGTACCACATTTTCTTTATCCAGTCTGTCACTGATGGGCATTTAGGTTGATTCCATATCTTTGCTATTATGAATAGTGCTGAAATGAACATTCAGGTG</t>
  </si>
  <si>
    <t>ENST00000370621.7:c.6835-2000T&gt;C</t>
  </si>
  <si>
    <t>EYS:c.6835-2014C&gt;A</t>
  </si>
  <si>
    <t>CCTTCTTTGTGTTCATAAGCTCCCATCATTTAGCTCCCACTGATAAGTGAGAATCATGCTGCATTTGGTTTTCCGATCCTTCATTAGTTTGCTGAGGATAATGGCCTCCAGCTCCATCCATGTGTCCACAAAAGACATGATCTCATTCTTTTTTATGGCTGCATATTATTCCATCCATGGTGTATATGTACCACATTTTCTTTATCCAGTCTGTCACTGATGGGCATTTAGGTTGATTCCATATCTTTGCTATTATGAATAGTGCTGAAA</t>
  </si>
  <si>
    <t>ENST00000370621.7:c.6835-2014C&gt;A</t>
  </si>
  <si>
    <t>EYS:c.6835-2016A&gt;G</t>
  </si>
  <si>
    <t>TTCCTTCTTTGTGTTCATAAGCTCCCATCATTTAGCTCCCACTGATAAGTGAGAATCATGCTGCATTTGGTTTTCCGATCCTTCATTAGTTTGCTGAGGATAATGGCCTCCAGCTCCATCCATGTGTCCACAAAGGCCATGATCTCATTCTTTTTTATGGCTGCATATTATTCCATCCATGGTGTATATGTACCACATTTTCTTTATCCAGTCTGTCACTGATGGGCATTTAGGTTGATTCCATATCTTTGCTATTATGAATAGTGCTGA</t>
  </si>
  <si>
    <t>ENST00000370621.7:c.6835-2016A&gt;G</t>
  </si>
  <si>
    <t>EYS:c.6835-2024_6835-2021del</t>
  </si>
  <si>
    <t>TCTGTTGTTTCCTTCTTTGTGTTCATAAGCTCCCATCATTTAGCTCCCACTGATAAGTGAGAATCATGCTGCATTTGGTTTTCCGATCCTTCATTAGTTTGCTGAGGATAATGGCCTCCAGCTCCATCCATGTGCAAAAGCCATGATCTCATTCTTTTTTATGGCTGCATATTATTCCATCCATGGTGTATATGTACCACATTTTCTTTATCCAGTCTGTCACTGATGGGCATTTAGGTTGATTCCATATCTTTGCTATTATGAATAGTG</t>
  </si>
  <si>
    <t>ENST00000370621.7:c.6835-2024_6835-2021del</t>
  </si>
  <si>
    <t>EYS:c.6835-2027_6835-2026insGCTC</t>
  </si>
  <si>
    <t>TGTTGTTTCCTTCTTTGTGTTCATAAGCTCCCATCATTTAGCTCCCACTGATAAGTGAGAATCATGCTGCATTTGGTTTTCCGATCCTTCATTAGTTTGCTGAGGATAATGGCCTCCAGCTCCATCCATGGCTCTGTCCACAAAAGCCATGATCTCATTCTTTTTTATGGCTGCATATTATTCCATCCATGGTGTATATGTACCACATTTTCTTTATCCAGTCTGTCACTGATGGGCATTTAGGTTGATTCCATATCTTTGCTATTATGA</t>
  </si>
  <si>
    <t>ENST00000370621.7:c.6835-2027_6835-2026insGCTC</t>
  </si>
  <si>
    <t>EYS:c.7056-12554G&gt;A</t>
  </si>
  <si>
    <t>GCATCAACTAACGAGCAAAATAACCAGCTAACATCATAATGACAGGATCAAATTCACACATAACAATATTAACCTTAAATGTAAATGGGCTAAATGCTCCAATTAAAAGACACAGACTAGCAAATTGGATAAAGAaTCAAGACCCACCAGTGTGCTGTATTCAGGAGACCCATCTCACATGCAGAGACACACATAGGCTCAAAATAATGGGATGAAGGAAGATCTACCAAGCAAATGGAAAACAAAAAAAAAGCAGGGGTTGCAATTCTA</t>
  </si>
  <si>
    <t>ENST00000370621.7:c.7056-12554G&gt;A</t>
  </si>
  <si>
    <t>EYS:c.7056-56679G&gt;T</t>
  </si>
  <si>
    <t>GTAATCCCAGCACTTTGGGATGCCGAGGCGGGCAGATCACGAGGTCAAGAGAGTGAGACCATCCTGGTTAACACGGTGAAACCCTGTCTCTACTAAAAATACAAAAACAAAATTAGCCAGGTGTGGTGGCCAGTTCCTGTAGTCCCAGCTACTCAGGACGCTGAGGCAGGAGAATGGCGTGAACCCGGGAGGCGGAACTTGCAGTGAGCCGAGATCGCGCCACTGCACTCCAGCCTGGGCAACAGAGTGAGACTCTGTCTCCAAAAAAAA</t>
  </si>
  <si>
    <t>ENST00000370621.7:c.7056-56679G&gt;T</t>
  </si>
  <si>
    <t>EYS:c.7228+27058del</t>
  </si>
  <si>
    <t>ACCAGGGTGCTCTAGAAGGATAGCCTATGAGTAGCATGTAGAAAACAAAGTCACCATTGTCACTATAAAAGTTACAGCTCTAGGAATCACTCAAAATATAGTGTTCTTTTTCATAAAATGTTTCTATATTTTTTGAATTCAAATCAGTGTCAATATGAGACAGTACTATCAAAAAATATTGATTGAATGTCACATGTGAATTGATGGAACATCATAGTATCAGACGCTGTGGAGAATACAAAACAAAAATAGTCCCAACCCTCAAATTAA</t>
  </si>
  <si>
    <t>ENST00000370621.7:c.7228+27058del</t>
  </si>
  <si>
    <t>EYS:c.7229-17853del</t>
  </si>
  <si>
    <t>CACAGTAAAAATCTTCCAGGTATATTTGTGTCTTATGCTGGACTCACTCCATACCGTCATGTTTCCATTAAGATCACATTGAATTCATAAAATCACTTAGTGGGAATTGGCATGTCTATTATATTAAAATTTCCATTTGAAAGTATTTCTACTTACTAATAATTTACTTTATGTCCCTCAATGATTTAAGGTTTTCTTTATTTAGAACTTGCCTGTGACATATTATAGTTACGTTATAAATGAAAGAGAGACGAGATTGTGGGATGCTAT</t>
  </si>
  <si>
    <t>ENST00000370621.7:c.7229-17853del</t>
  </si>
  <si>
    <t>EYS:c.8071+9168G&gt;A</t>
  </si>
  <si>
    <t>ACTGAGCTAAAACATATGCCTTCCAAATAGATGGGTCTCAACATTTCTGAATTGGATGATGATTATTCAAAATTTAAAAACCTAGATGACACATGTACATAATCAATGGAATCTGCCAAAACCTTCTGTAAATAAaCCTTTGAGACTCCTAAAACATCCATAAATCTTCCTATACAATTTACCCAGCTTAATATTATTATGACACTTCCAAATAGCATAAGAATAGCATAAAAGAGAGCTCACTGTAAAAAATATATATACATATATATA</t>
  </si>
  <si>
    <t>ENST00000370621.7:c.8071+9168G&gt;A</t>
  </si>
  <si>
    <t>EYS:c.862+21599A&gt;G</t>
  </si>
  <si>
    <t>TCTCATATCTTGAATGGGAAATACTTATACTGAAAAATATTGTTCTATCAGAAATTCAAATTTAAGAGTGTACGATATATATTATCTGGCAACCCTAGAGGTGAATTTGAACTTTGATTTCTTCTTTGTTTCACGGAAAAATTCATTAGATCAAAGAAGTAAAGAAAAGTATTTAAGTAGAGACTACATAAAATATTAAAAAGAGTGAGATATTCCTGATGCCATATCTCATAGAATCTTAAAGTTTTAACATCTGTGAAGGACATTAAA</t>
  </si>
  <si>
    <t>ENST00000370621.7:c.862+21599A&gt;G</t>
  </si>
  <si>
    <t>EYS:c.862+29568A&gt;C</t>
  </si>
  <si>
    <t>CAAGGCCATTGTTGCCTCATTTATATGACAGAAGAAAGTACAACTATATATGGCATTTGATCCAATCAATCACATCAATTGAGTAATACAATTTCTGAATAGAGAATCATAATATTTTATCAATATCTGGATAACCCAAACTTGGAAAATACATCTTTGGTAATTTATTATTTTAATGTTTGATATAGAAACAGTATTTGACCTTCATGTATGAAGAATATTATGGATCATTTAGTAAACTTCCTTATTTAGAAGTAGAGTTGGGAGCAT</t>
  </si>
  <si>
    <t>ENST00000370621.7:c.862+29568A&gt;C</t>
  </si>
  <si>
    <t>VPS13B:c.148-10882G&gt;C</t>
  </si>
  <si>
    <t>TTTACTTCTCTTTCTCATTTGTGAATCTGCTTCATCAGTGAGATTGACACTTCTTCATGTTTTCATGATGGTAGTTATAGTCTGTTCGCTTTCAGTTCTAGGATTCCCTTAATCATTTCTTCTACATCTAGTCTACTGGTGATAAATTACCTCATTTTTTGCTTCTCTGGGAGATTTTAGTTTTCCTTCATTTCTGAAGGGTAGTTTTACTAGATATGGTAATCTTGGCTCACAGTTTGTTTTCTTTCATCATTTTGAATATGGCATCCC</t>
  </si>
  <si>
    <t>ENST00000358544.6:c.148-10882G&gt;C</t>
  </si>
  <si>
    <t>VPS13B:c.148-8266C&gt;A</t>
  </si>
  <si>
    <t>GACCTGGATGTTTATATTTCTTCCGTGACTTGAGATGTTTTCAGCAATTATTTATTTAAATAGGTTTTATATGCTTTGTCTGTTCTCTTCTTCTGGATCTCCAAAAATACATGCTTTTTTTTTTTTTTTTTTTTAATTAATAGTATCCCATAGGCCCTGTAGGCGTTCTTCTCATTCTTTTTAATTATCTGTTTTTTTTGTTTTTTTTTTTCGGCTAACCTGGGTACAGCAGGACCTCAAAATAATGTTCAGCGTTGTTTAGTTATAATG</t>
  </si>
  <si>
    <t>ENST00000358544.6:c.148-8266C&gt;A</t>
  </si>
  <si>
    <t>VPS13B:c.2013+1497A&gt;G</t>
  </si>
  <si>
    <t>CAGTGGTGAAATCTCAGTTCACTGCAACCTATGCCTCCTGGGTTCATGCAACTTTCCTGTCTCAGGCTTCTGAGTAGCTGGGACTATGGGCGCATGCCACCACGCCCGACTAATTTTTGTATTTTTAGTAGAGACGGGATTTCACCATATTGGTCAGGCAGGTCTTGAACTCCTGACCTCAGGTGATCCACCTGCCTCAGCCTTCCAAAGTGCTGGGATTACAGGTGTGAGCCACCACACCTGGCCTATGTGTTTTTTTTTTTTTTTGAT</t>
  </si>
  <si>
    <t>ENST00000358544.6:c.2013+1497A&gt;G</t>
  </si>
  <si>
    <t>VPS13B:c.2013+1500A&gt;G</t>
  </si>
  <si>
    <t>TGGTGAAATCTCAGTTCACTGCAACCTATGCCTCCTGGGTTCATGCAACTTTCCTGTCTCAGGCTTCTGAGTAGCTGGGACTATGGGCGCATGCCACCACGCCCGACTAATTTTTGTATTTTTAGTAGAGACAGGGTTTCACCATATTGGTCAGGCAGGTCTTGAACTCCTGACCTCAGGTGATCCACCTGCCTCAGCCTTCCAAAGTGCTGGGATTACAGGTGTGAGCCACCACACCTGGCCTATGTGTTTTTTTTTTTTTTTGATATA</t>
  </si>
  <si>
    <t>ENST00000358544.6:c.2013+1500A&gt;G</t>
  </si>
  <si>
    <t>VPS13B:c.2515+28507A&gt;G</t>
  </si>
  <si>
    <t>AGGTTTCCAATAAGCTATTTGAAGAGGAAGAAAAATGAAAAGGAGAGAAATGTTAATTTTTTTAAAAGAGAGAGGCTTTAATAACTATTTTCTTATGAATATATCTTTGAAGTTTATTCTGTTACACAGAAAAAAGCATACATCTAAATGACTATTGCTTTTTTAAATTCTTTTAGCTAATACTTTTCAGTCGCGGACACACCGTGTTCTCAGAGTTTTAAAACTTCTTTGAAATTTTTTTTGGTGGCCAATTTTGCAGACACACAAGGA</t>
  </si>
  <si>
    <t>ENST00000358544.6:c.2515+28507A&gt;G</t>
  </si>
  <si>
    <t>VPS13B:c.2824+23829C&gt;A</t>
  </si>
  <si>
    <t>AGGGATGGTTTTTGATGGTCAGAAACACTCTTAGAGTTAGATGTGATCTGGAGTTTCAGTCCTGCCACATTCCAAAGAGCGATCTTGGCCAAGTTATTCCACCACTTTTTTTTTTTTTTTTTTTTTTTTTTGAGAAAGAGTTTCACTCTTGTTGCCCAGGCTGGAGTGCAATGGCACTATCTTGGCTCACTGCAACCTCAGCCTCCTGGGTTCAAGCGATTCTCCTGCCTCAGCCTCCTGAGTAGCTGGGATTACAGGCCCCCACCACTA</t>
  </si>
  <si>
    <t>ENST00000358544.6:c.2824+23829C&gt;A</t>
  </si>
  <si>
    <t>VPS13B:c.2825-2471A&gt;G</t>
  </si>
  <si>
    <t>CTGGTGTGAGATGGCATCTCATTGTGGTTTTGATTTGCATTTCTCTAATGATCAATGATGTTGAGTTTTTTTTCATATGCTTGTTGGCCATATGTATATCTTCTTTTGAAAATTGTCTGTTCATGTCCTTTGCCCGCTTTTCAATGGACTTGCTTTTTTTTTTCTTGTAGATTTCTTTATGTTCCTTATAGATGCTGGATATTAGATCTTGGTCAGATGCAGAGTTTGCAAAAATTTTCTCCCATTCTGGCATTTTCTCCCATGCCATTC</t>
  </si>
  <si>
    <t>ENST00000358544.6:c.2825-2471A&gt;G</t>
  </si>
  <si>
    <t>VPS13B:c.291+11714C&gt;T</t>
  </si>
  <si>
    <t>TTTAACATTAGGTATATCTCCTAATGCTATCGCTCCCCCCTCCCCCCACCACACAACAGGCCCTGCTGTGTGATGTTCCCCTTCCTGTGTCTATGTGTGCTCATTGTTCAATTCCCACCTATAAGTGAGAACATGTAGTGTTTGGTTTTTTGTCCTTGAGATAGTTTGCTGAGAATGATGGTTTCCAGCTTCATCCATGTCCCTACAAAGGACATGAACTCATCCTTTTTTATGGGAGCATAGTATTCAATCGTGTATATGTGCCACATT</t>
  </si>
  <si>
    <t>ENST00000358544.6:c.291+11714C&gt;T</t>
  </si>
  <si>
    <t>VPS13B:c.291+11715A&gt;G</t>
  </si>
  <si>
    <t>TTAACATTAGGTATATCTCCTAATGCTATCGCTCCCCCCTCCCCCCACCACACAACAGGCCCTGCTGTGTGATGTTCCCCTTCCTGTGTCTATGTGTGCTCATTGTTCAATTCCCACCTATAAGTGAGAACATGCGGTGTTTGGTTTTTTGTCCTTGAGATAGTTTGCTGAGAATGATGGTTTCCAGCTTCATCCATGTCCCTACAAAGGACATGAACTCATCCTTTTTTATGGGAGCATAGTATTCAATCGTGTATATGTGCCACATTT</t>
  </si>
  <si>
    <t>ENST00000358544.6:c.291+11715A&gt;G</t>
  </si>
  <si>
    <t>VPS13B:c.291+11716G&gt;A</t>
  </si>
  <si>
    <t>TAACATTAGGTATATCTCCTAATGCTATCGCTCCCCCCTCCCCCCACCACACAACAGGCCCTGCTGTGTGATGTTCCCCTTCCTGTGTCTATGTGTGCTCATTGTTCAATTCCCACCTATAAGTGAGAACATGCAATGTTTGGTTTTTTGTCCTTGAGATAGTTTGCTGAGAATGATGGTTTCCAGCTTCATCCATGTCCCTACAAAGGACATGAACTCATCCTTTTTTATGGGAGCATAGTATTCAATCGTGTATATGTGCCACATTTT</t>
  </si>
  <si>
    <t>ENST00000358544.6:c.291+11716G&gt;A</t>
  </si>
  <si>
    <t>VPS13B:c.3082+13950G&gt;C</t>
  </si>
  <si>
    <t>ATCCTCTGATCTCAGTTACCTCAATTCATTGTTCACATGGCAGCAAGAGTCATCTTATTAAAAACCTAAATTAGATCATGTCTCTCCCTGCTTAATCGCAGTAGTTGCTTCCTATTGCACTTAAGATATAACCCACACTTCTTACCATGCTCTACACAGTTGAATCTTATCTAACCTCCATTAGGTTCTCCCATGGCATCTTTGTCATTTTTCCTTACATGGATCCTGTTTCATTTTCTTATATACTTCATCCTTTTTTTTCTTTTTTTT</t>
  </si>
  <si>
    <t>ENST00000358544.6:c.3082+13950G&gt;C</t>
  </si>
  <si>
    <t>FLVCR1:c.1092+729C&gt;T</t>
  </si>
  <si>
    <t>GCATAGTGGCTCACGCCTGTAATCCCAGCACTTTGGAAGGCCGAGGCGGGTGGATCACCTGAGGTCGAGACCAGCCTGACCGACATGGAGAAACCCTGTCTCTACCAAAAATACAAAATTAGCTGGGCATGGTGGtGCATGCCTGTAATTCCAGCTATTCGGGAGGCTGAGGCAGGAGAAACACTTGAGCCTGGGAGGTGGAGGTGGCGGTGAGCCGAGATCGTGCCATTGTATTCCATCCTGGGCAATAAGAGTGAATCCCCATTTAAA</t>
  </si>
  <si>
    <t>ENST00000366971.8:c.1092+729C&gt;T</t>
  </si>
  <si>
    <t>OGI1471_002666</t>
  </si>
  <si>
    <t>IFT140:c.-32+1497A&gt;C</t>
  </si>
  <si>
    <t>TCATAGTTATTGCACAGTGTCGTATTAATGTATCACTCATTTTTCAGAGAAATATTTTCACAGAGTAAACTTATTAGATCCTAATTTCCCTTAGCCCAGGATTTGTAACCTTGGGGCTGGCTGCAACATGTTAAAcCCCCCTTTTTTTTTTAAACAGTTTTGCTCTGTCGCCCAGACTGGAGTGCAGTGGCAAGATCTCGGCTCACTGCAACCTCCGCCTCCTGGATTCAAGCGATTCTCATGTCTCAGCCTCCTGAGTAGCTGGGATTA</t>
  </si>
  <si>
    <t>ENST00000426508.6:c.-32+1497A&gt;C</t>
  </si>
  <si>
    <t>VPS13B:c.3082+13963G&gt;C</t>
  </si>
  <si>
    <t>AGTTACCTCAATTCATTGTTCACATGGCAGCAAGAGTCATCTTATTAAAAACCTAAATTAGATCATGTCTCTCCCTGCTTAATCGCAGTAGTTGCTTCCTATTGCACTTAAGATATAACCCAGACTTCTTACCATCCTCTACACAGTTGAATCTTATCTAACCTCCATTAGGTTCTCCCATGGCATCTTTGTCATTTTTCCTTACATGGATCCTGTTTCATTTTCTTATATACTTCATCCTTTTTTTTCTTTTTTTTTTTTCCTTGAGAT</t>
  </si>
  <si>
    <t>ENST00000358544.6:c.3082+13963G&gt;C</t>
  </si>
  <si>
    <t>VPS13B:c.3445+7887A&gt;G</t>
  </si>
  <si>
    <t>ACTCTGGTGGTTATGAAGACCATATGTTCAATTAAAAATTTCTTTTCTGCCACGTGTGGTGGCTCATTCCTGTAATCCCAGCATTTGGGAGGCCAAGGTGGGCAGATCACAAGGTTAGGAGATCAAGACCATCCTGGCCAACGTGGTGAAACCCTGTCTCTACTAAAATACAAAAAATTAGCCGGGCATGGTGGCGTGCGCCTGTAGTCCCAGCTACTCAGGAGGCTGATGCAGGAGAATCGCTTGAACCTGGGAGGCAGAGGTTGCAGT</t>
  </si>
  <si>
    <t>ENST00000358544.6:c.3445+7887A&gt;G</t>
  </si>
  <si>
    <t>VPS13B:c.4821-4804T&gt;C</t>
  </si>
  <si>
    <t>ATCTTCTTCTTAGGTGCTTTCTACTTGCCCAACTTTGGTTTTTCATTTCTGACATTCTAATTTTTATTTATTTGGAAGTTATGTGTTCCATATCTGTTATTTTAGTGGCTACTCTGGCTATGTTAACATGTGTACCTAACAGAAGTCTGAAGTTAATATCTTTTTCTTCTTCTTCAACAATACAAGAAACTTAGAACATTTTATCTCAAATTATCTGGTCCCCTTATTTATATATTATTATCCAGTGTCTTATTTTTGGCCTGTTTTCTC</t>
  </si>
  <si>
    <t>ENST00000358544.6:c.4821-4804T&gt;C</t>
  </si>
  <si>
    <t>IFT43:c.148-12725A&gt;G</t>
  </si>
  <si>
    <t>AACAGTCAAGTCCTTATGCTTACATATTCTCATTTCTCTTTGTAGCCTGTGTTCTCTCTATTTTTGTCTCTGTCTCCTTCATTTCAGCTTAAATGGATAAGTGTTTGGTGTTGCCATTTACATCTGTTTTGCTTGGGTACCTTCCTCCTAGGTACCTTCTTCCTAGGTACCTGAATTCAATTTGCCACAATTCATACATCCATAGAATTACAGAAGTTTGGAAGTGGGAGGAATCAATTCTAGCATGAAGAAGAACCCAGGGTTGTGGAC</t>
  </si>
  <si>
    <t>ENST00000238628:c.148-12725A&gt;G</t>
  </si>
  <si>
    <t>OGI707_001410</t>
  </si>
  <si>
    <t>IMPG2:c.1154-1873_1154-1872del</t>
  </si>
  <si>
    <t>CTCTGTTGGAATACTAGGGCTAGATAAAATAGTGAACAGATAAGAAGCTTGTTATAATCTGAAACTGCTGAAGTCCCTCTGGCAATGCTAATAGAGATTAGCCGGGGCTAACCATGGAGATGGCATATGGGCAGAGATTCTAGGAATCAGGATATTGGGATCAGACAGAGAAAAGATATAGTTAGGAGATCATGACCTAAGGGAGTTAAGAACCTACATTGAGCAGAAGGTGCAAACACCAAGGTCAGTAACTGGAGTGGTAGGAGAATG</t>
  </si>
  <si>
    <t>ENST00000193391.7:c.1154-1873_1154-1872del</t>
  </si>
  <si>
    <t>VPS13B:c.5024+5627C&gt;A</t>
  </si>
  <si>
    <t>GTGAGGTGGTACATCATTGTGGTTTTCACTTACATCTCTATAATGATTAATGAACTTGAGCAGCTTTTTGTGTGCTTGTTGGCTGTTTGTGTATTTTCTTTGGAGAAAAGCTTATTTGTCTTTTGCCCCCCCCATACCCACCCCACGCTTTTTTGAGACAGAGTCTTGCTTTGTCACCCAGGTTGGAGTGCAGTGGTATGATCTCAGCCCACTGTAACCTCTGCCTCCTGGGTTCAACCCATTTTCCTGCCTCATCCTCCCAAGTACCTG</t>
  </si>
  <si>
    <t>ENST00000358544.6:c.5024+5627C&gt;A</t>
  </si>
  <si>
    <t>LAMA1:c.5797-228A&gt;C</t>
  </si>
  <si>
    <t>TGTGTTTTAATTTTTTAAGGTCATAAATACTTCTTTATACAGACTAGAAACCAGTGTGGAGATGAGAACAATCTCACATTTCCTTGCGCTAAAAATGATGATGCTACTTGATACCTACTGGAGACATTTTTCTATcACCATGGTGAAAATCTTTATTGAATGGCTGGTTTCCTTCCTTATCTACTTAAAAATGTCTTTGTTTTCTCTTGCCTCAGCCATTTTAAATTGTCCCTACCTGGTACCTGGCTGACTTTCTTGCTGGGAATGTGT</t>
  </si>
  <si>
    <t>ENST00000389658.3:c.5797-228A&gt;C</t>
  </si>
  <si>
    <t>OGI2029_003455</t>
  </si>
  <si>
    <t>LCA5:c.720+1696G&gt;A</t>
  </si>
  <si>
    <t>TACATAGAGTTCATCAACTGCACTCAGCTTTCACTAGTTTTACGTGTGTGTGTATTTAGTTCTGTGCAGTTTCATCACATGTATAGATTCGTGTGACTACCAACATAATCAAGATATAGACCAATTCCATCACAAaAATCCCTTGTATTTTACCATTTTACAGCCACAGCTACCTCCTGCCTTCCCCTCACTAACCTATGACATCAGCTAATTTGCTCATTATTTCTCTAATTTTGTCATTTCAAGAATGTTATATAAATGGAATCACAC</t>
  </si>
  <si>
    <t>ENST00000392959.5:c.720+1696G&gt;A</t>
  </si>
  <si>
    <t>MERTK:c.62-1575G&gt;C</t>
  </si>
  <si>
    <t>TACTTATATCTCCCATTAGCCAATTAAATACTTAACTGAATACTTAAATTTAAAAAATTCCAGCCTGGGCACATACATAGCCAGACTCCCTCCCTACAAGAAAAAATTTTAAACTAGCTGGACATGGTAGCACGAcCCTATAGTACAACCTACTCGGGAGGCTGAGGTAGGAGGATCGCTTGAGCCTAGGAGATTGAAGTTGCAGTGAGTTACTGTACCACTGCTCTCCAGCCTGGGTGACAGAGCAAGAAGGCCCTGTTTGTTTAAAAA</t>
  </si>
  <si>
    <t>ENST00000295408:c.62-1575G&gt;C</t>
  </si>
  <si>
    <t>VPS13B:c.5295+14399del</t>
  </si>
  <si>
    <t>GCCTGCCTTGCTAGGTTGGGGAAGTTCTCCTGGATAATATCCTGAAGAGTGTTTTCCAGCTTGGTTCCATTCTCGTCATTTTCAGGTACACCAATCAAACATAGATTTGGTCTTTTCACGTAGTCCCATATTTCTTGAGGCTTTTTTCTTTTCTTTTCTCTTTTTTCTCTATCTTCAATCACTGATACCTTTTCTTCCACTTGATTGAATCAGCTACTGAAGCTTGTGCATGTGTCACGTAGCTCTCATGCCATGGTTTTCAGCTCCATC</t>
  </si>
  <si>
    <t>ENST00000358544.6:c.5295+14399del</t>
  </si>
  <si>
    <t>VPS13B:c.5295+14461A&gt;T</t>
  </si>
  <si>
    <t>TTCCATTCTCGTCATTTTCAGGTACACCAATCAAACATAGATTTGGTCTTTTCACGTAGTCCCATATTTCTTGGAGGCTTTTTTCTTTTCTTTTCTCTTTTTTCTCTATCTTCAATCACTGATACCTTTTCTTCCTCTTGATTGAATCAGCTACTGAAGCTTGTGCATGTGTCACGTAGCTCTCATGCCATGGTTTTCAGCTCCATCAGGTCATTTAAGGTCTTCTCTACACTGTTTATTCTAGTTAGCCATTCATCTAATCTTTTTTCA</t>
  </si>
  <si>
    <t>ENST00000358544.6:c.5295+14461A&gt;T</t>
  </si>
  <si>
    <t>SpAI = 0 Nov 2024, SpAI = 0.02 Mar 2025</t>
  </si>
  <si>
    <t>VPS13B:c.5295+14462C&gt;G</t>
  </si>
  <si>
    <t>TCCATTCTCGTCATTTTCAGGTACACCAATCAAACATAGATTTGGTCTTTTCACGTAGTCCCATATTTCTTGGAGGCTTTTTTCTTTTCTTTTCTCTTTTTTCTCTATCTTCAATCACTGATACCTTTTCTTCCAGTTGATTGAATCAGCTACTGAAGCTTGTGCATGTGTCACGTAGCTCTCATGCCATGGTTTTCAGCTCCATCAGGTCATTTAAGGTCTTCTCTACACTGTTTATTCTAGTTAGCCATTCATCTAATCTTTTTTCAA</t>
  </si>
  <si>
    <t>ENST00000358544.6:c.5295+14462C&gt;G</t>
  </si>
  <si>
    <t>VPS13B:c.5295+14468T&gt;C</t>
  </si>
  <si>
    <t>CTCGTCATTTTCAGGTACACCAATCAAACATAGATTTGGTCTTTTCACGTAGTCCCATATTTCTTGGAGGCTTTTTTCTTTTCTTTTCTCTTTTTTCTCTATCTTCAATCACTGATACCTTTTCTTCCACTTGATCGAATCAGCTACTGAAGCTTGTGCATGTGTCACGTAGCTCTCATGCCATGGTTTTCAGCTCCATCAGGTCATTTAAGGTCTTCTCTACACTGTTTATTCTAGTTAGCCATTCATCTAATCTTTTTTCAAGGTTTT</t>
  </si>
  <si>
    <t>ENST00000358544.6:c.5295+14468T&gt;C</t>
  </si>
  <si>
    <t>OGI1325_002475</t>
  </si>
  <si>
    <t>MYO7A:c.286-570A&gt;G</t>
  </si>
  <si>
    <t>GGAAGCCTTGCCTACAGACAGCTGATCTTTGCACTAACAGAGGAGCCCAAGTAGAGAACCTCCTTAAGGCTATCTGAGGTGCACCTGGCCCCTGCGCCTACGCTGCCCAGGATGGCTGGAGGTGCTCTGTCCCCTgGAGCACAGCATCTCCCTCTGTCCTGGGGCAGTGCTACAGAGAGTGGGGCCCACCCAGCCCCCAAGCCACTTACCCCAGCTCCTTCAGCTCTTTATGGCTAATTTCTCACGCCCCTCTTCCTCACCAACCTGGCC</t>
  </si>
  <si>
    <t>ENST00000409709.8:c.286-570A&gt;G</t>
  </si>
  <si>
    <t>VPS13B:c.5295+14473C&gt;T</t>
  </si>
  <si>
    <t>CATTTTCAGGTACACCAATCAAACATAGATTTGGTCTTTTCACGTAGTCCCATATTTCTTGGAGGCTTTTTTCTTTTCTTTTCTCTTTTTTCTCTATCTTCAATCACTGATACCTTTTCTTCCACTTGATTGAATTAGCTACTGAAGCTTGTGCATGTGTCACGTAGCTCTCATGCCATGGTTTTCAGCTCCATCAGGTCATTTAAGGTCTTCTCTACACTGTTTATTCTAGTTAGCCATTCATCTAATCTTTTTTCAAGGTTTTTAGCT</t>
  </si>
  <si>
    <t>ENST00000358544.6:c.5295+14473C&gt;T</t>
  </si>
  <si>
    <t>VPS13B:c.5296-27172T&gt;C</t>
  </si>
  <si>
    <t>CCAACCTCAAGTGATCCGCCCACCTCGGCCTCCCAAAGTGCTGGGATTACAGGCCTGAGCCACTGCGCCTGGCCTAAATTACAATTATTTTAAAAGTGTTTCAGTATAAGAAGGAAGTCTAGGATTATTTTAACCCGAGTATTTCATGGGATTTAGGCTTAATCCGGGTCATTTAGAAATAGTCCTACGTTATTTAATGATTTAAAACAGAACTTTATGCTTTCATTATTTGGATTAAATAAACTTCTATTATTTTTTCTTATCCTGAAG</t>
  </si>
  <si>
    <t>ENST00000358544.6:c.5296-27172T&gt;C</t>
  </si>
  <si>
    <t>VPS13B:c.6122-366G&gt;T</t>
  </si>
  <si>
    <t>AGACATTTTCTGCATGAACAATTAGAGAATTGTAGGGATACTTGGATAAATATTTATTAGTAATACCATTATTTGTGTCAAACATGGTTCTGGGTAGTAAGGAAAGTCTTTTTTTTTTTTTTTTTTTTTTTTGAATAAAGGCCAGTTTCATATAGGTAACAAACTGGAAAACCTGCTTCATTTTGCCTTGGACTATAAGGGGCAGAGTGGAAATTGACAGCCTTGATATCCTTGTGTGGCCCTCGATGTATCAGGGCCACACATGTCACA</t>
  </si>
  <si>
    <t>ENST00000358544.6:c.6122-366G&gt;T</t>
  </si>
  <si>
    <t>VPS13B:c.7125+22559T&gt;A</t>
  </si>
  <si>
    <t>ACTTTAAAGTTCATATGGAACCAAAAAAGAGCCCGCATCGCCAAGTCAATCCTAAGCCAAAACAACAAAGCTGGAGGTATCACGCTACCTGACTTCAAACTATACTACAAGGCTACAGTAACCAAAACAGCATGGAACTGGTTCCAAAATAGAGATACAGACCAATGGAACAGAACAGAACCCTCAGAAATAATGCAGCAGCGTACCTACAACCATCTGATCTTTGACAAACCTGACAAAAACAAGCAATGGGGAAAGGATTCCCTATTT</t>
  </si>
  <si>
    <t>ENST00000358544.6:c.7125+22559T&gt;A</t>
  </si>
  <si>
    <t>VPS13B:c.7125+22566T&gt;A</t>
  </si>
  <si>
    <t>AGTTCATATGGAACCAAAAAAGAGCCCGCATCGCCAAGTCAATCCTAAGCCAAAACAACAAAGCTGGAGGTATCACGCTACCTGACTTCAAACTATACTACAAGGCTACAGTAACCAAAACAGCATGGTACTGGTACCAAAATAGAGATACAGACCAATGGAACAGAACAGAACCCTCAGAAATAATGCAGCAGCGTACCTACAACCATCTGATCTTTGACAAACCTGACAAAAACAAGCAATGGGGAAAGGATTCCCTATTTAATAAAT</t>
  </si>
  <si>
    <t>ENST00000358544.6:c.7125+22566T&gt;A</t>
  </si>
  <si>
    <t>VPS13B:c.7125+22567C&gt;A</t>
  </si>
  <si>
    <t>GTTCATATGGAACCAAAAAAGAGCCCGCATCGCCAAGTCAATCCTAAGCCAAAACAACAAAGCTGGAGGTATCACGCTACCTGACTTCAAACTATACTACAAGGCTACAGTAACCAAAACAGCATGGTACTGGTTACAAAATAGAGATACAGACCAATGGAACAGAACAGAACCCTCAGAAATAATGCAGCAGCGTACCTACAACCATCTGATCTTTGACAAACCTGACAAAAACAAGCAATGGGGAAAGGATTCCCTATTTAATAAATG</t>
  </si>
  <si>
    <t>ENST00000358544.6:c.7125+22567C&gt;A</t>
  </si>
  <si>
    <t>VPS13B:c.7126-17165G&gt;A</t>
  </si>
  <si>
    <t>TGAGTGAGAGCATGCAGAGTTTGTTTTTCTGTGCCTGGCTTATTTCATTTAACGTAATGTCCTCCGGTTCCATCTATGTTGTGGTAAATGACAGGATTTCATTCTTTTTTATGGCTGAGTAGTACTCCATTGTGTATATGTACCACATTTTCTTTATCTGTTCATCTGTTGATGGACACTTGGGTTGCTTCCAAATCTTGGCTATTGTAAATAGTGCTGCAATAAACATTAGAGTACAGATATCTTTTAAATATATGATTTCCTTTCTTT</t>
  </si>
  <si>
    <t>ENST00000358544.6:c.7126-17165G&gt;A</t>
  </si>
  <si>
    <t>VPS13B:c.7126-17167G&gt;A</t>
  </si>
  <si>
    <t>AATGAGTGAGAGCATGCAGAGTTTGTTTTTCTGTGCCTGGCTTATTTCATTTAACGTAATGTCCTCCGGTTCCATCTATGTTGTGGTAAATGACAGGATTTCATTCTTTTTTATGGCTGAGTAGTACTCCATTGTATGTATGTACCACATTTTCTTTATCTGTTCATCTGTTGATGGACACTTGGGTTGCTTCCAAATCTTGGCTATTGTAAATAGTGCTGCAATAAACATTAGAGTACAGATATCTTTTAAATATATGATTTCCTTTCT</t>
  </si>
  <si>
    <t>ENST00000358544.6:c.7126-17167G&gt;A</t>
  </si>
  <si>
    <t>VPS13B:c.7126-17170T&gt;G</t>
  </si>
  <si>
    <t>ACAAATGAGTGAGAGCATGCAGAGTTTGTTTTTCTGTGCCTGGCTTATTTCATTTAACGTAATGTCCTCCGGTTCCATCTATGTTGTGGTAAATGACAGGATTTCATTCTTTTTTATGGCTGAGTAGTACTCCATGGTGTGTATGTACCACATTTTCTTTATCTGTTCATCTGTTGATGGACACTTGGGTTGCTTCCAAATCTTGGCTATTGTAAATAGTGCTGCAATAAACATTAGAGTACAGATATCTTTTAAATATATGATTTCCTT</t>
  </si>
  <si>
    <t>ENST00000358544.6:c.7126-17170T&gt;G</t>
  </si>
  <si>
    <t>NR2E3:c.-404+2670G&gt;T</t>
  </si>
  <si>
    <t>GGCCTTTTCTGCATCTATTGAGATAATCATGTGGTTTTTGTCTTTGGTTCTGTTTATATGCTGGATTATATTTATTGATTTGCATATATTGAACCATCGTTGCATCCCAGGGATGAAGCCCACTTGATCATGGTTGATAAGCTTTTTGATGTGCTGCTGGATTCGGTTTGCCAGTATTTTATTGAGGATTTTTGCATCAATGTTCATCAAGGATATTGGTCTAAAATTCTCTTTTTTGTTTGTGTCTCTGCCAGGCTTTGGTATCAGGAT</t>
  </si>
  <si>
    <t>ENST00000621736:c.-404+2670G&gt;T</t>
  </si>
  <si>
    <t>VPS13B:c.7126-17174C&gt;T</t>
  </si>
  <si>
    <t>TCCCACAAATGAGTGAGAGCATGCAGAGTTTGTTTTTCTGTGCCTGGCTTATTTCATTTAACGTAATGTCCTCCGGTTCCATCTATGTTGTGGTAAATGACAGGATTTCATTCTTTTTTATGGCTGAGTAGTACTTCATTGTGTGTATGTACCACATTTTCTTTATCTGTTCATCTGTTGATGGACACTTGGGTTGCTTCCAAATCTTGGCTATTGTAAATAGTGCTGCAATAAACATTAGAGTACAGATATCTTTTAAATATATGATTT</t>
  </si>
  <si>
    <t>ENST00000358544.6:c.7126-17174C&gt;T</t>
  </si>
  <si>
    <t>VPS13B:c.7126-17176C&gt;T</t>
  </si>
  <si>
    <t>GCTCCCACAAATGAGTGAGAGCATGCAGAGTTTGTTTTTCTGTGCCTGGCTTATTTCATTTAACGTAATGTCCTCCGGTTCCATCTATGTTGTGGTAAATGACAGGATTTCATTCTTTTTTATGGCTGAGTAGTATTCCATTGTGTGTATGTACCACATTTTCTTTATCTGTTCATCTGTTGATGGACACTTGGGTTGCTTCCAAATCTTGGCTATTGTAAATAGTGCTGCAATAAACATTAGAGTACAGATATCTTTTAAATATATGAT</t>
  </si>
  <si>
    <t>ENST00000358544.6:c.7126-17176C&gt;T</t>
  </si>
  <si>
    <t>VPS13B:c.7126-17182G&gt;A</t>
  </si>
  <si>
    <t>TTTTTAGCTCCCACAAATGAGTGAGAGCATGCAGAGTTTGTTTTTCTGTGCCTGGCTTATTTCATTTAACGTAATGTCCTCCGGTTCCATCTATGTTGTGGTAAATGACAGGATTTCATTCTTTTTTATGGCTGAATAGTACTCCATTGTGTGTATGTACCACATTTTCTTTATCTGTTCATCTGTTGATGGACACTTGGGTTGCTTCCAAATCTTGGCTATTGTAAATAGTGCTGCAATAAACATTAGAGTACAGATATCTTTTAAATA</t>
  </si>
  <si>
    <t>ENST00000358544.6:c.7126-17182G&gt;A</t>
  </si>
  <si>
    <t>VPS13B:c.7126-17183A&gt;C</t>
  </si>
  <si>
    <t>ATTTTTAGCTCCCACAAATGAGTGAGAGCATGCAGAGTTTGTTTTTCTGTGCCTGGCTTATTTCATTTAACGTAATGTCCTCCGGTTCCATCTATGTTGTGGTAAATGACAGGATTTCATTCTTTTTTATGGCTGCGTAGTACTCCATTGTGTGTATGTACCACATTTTCTTTATCTGTTCATCTGTTGATGGACACTTGGGTTGCTTCCAAATCTTGGCTATTGTAAATAGTGCTGCAATAAACATTAGAGTACAGATATCTTTTAAAT</t>
  </si>
  <si>
    <t>ENST00000358544.6:c.7126-17183A&gt;C</t>
  </si>
  <si>
    <t>NR2E3:c.-404+2686G&gt;A</t>
  </si>
  <si>
    <t>ATTGAGATAATCATGTGGTTTTTGTCTTTGGTTCTGTTTATATGCTGGATTATATTTATTGATTTGCATATATTGAACCATCGTTGCATCCCAGGGATGAAGCCCACTTGATCATGGTGGATAAGCTTTTTGATATGCTGCTGGATTCGGTTTGCCAGTATTTTATTGAGGATTTTTGCATCAATGTTCATCAAGGATATTGGTCTAAAATTCTCTTTTTTGTTTGTGTCTCTGCCAGGCTTTGGTATCAGGATGATGCTGGCCTCATAA</t>
  </si>
  <si>
    <t>ENST00000621736:c.-404+2686G&gt;A</t>
  </si>
  <si>
    <t>OGI3582_005197</t>
  </si>
  <si>
    <t>NR2E3:c.1100+1124G&gt;A</t>
  </si>
  <si>
    <t>GGGGCAGGAGCCGGTGCTCTGGGACTACGCTGTTTGGCCCAGCACAGGCAGATGTCATGGAGCCTCAGCAAGGTTGGAACATTTGGCCTTCAGGCATCTACTGGCTATTTTAGACCATGTTATCTGCAATCTTTAGGGCTCCCGGCAGTTTCTTTCTGAAGAAGCAAGCTAATATGGGCATCCTTGCATCACCTCTAATCCAAGAAATGATTACAAGGAGAAAAGGTAATTTCCTTTTAAGAAAAGCCACAGTATACAAAGTATATGCCA</t>
  </si>
  <si>
    <t>ENST00000621736:c.1100+1124G&gt;A</t>
  </si>
  <si>
    <t>ALMS1:c.7674+2768C&gt;A</t>
  </si>
  <si>
    <t>CGGTGACGTCGGGAAGCAGCACCCAGACCATGTAAGGACACCGCCTGCAGGGGGAGACTCAAGGCCTGGGAAGGTTTTCTAATCTGTGCCTTGAGTCGGGTGGGGGGATTTTCTGGGAAAGGAAAACCAGACACAGTAGGACAAATATTGTATAGTTTCACTTATATGAAATTGTCAGAATAGGCAAGTTCGTAGAGACAGAATGTAGAACAGGGCTTTCCGGGGGCTGGAGGAGAAGACAAGGAGTTCTTGCCTAGTGGGTACAGAGTT</t>
  </si>
  <si>
    <t>ENST00000613296:c.7674+2768C&gt;A</t>
  </si>
  <si>
    <t>ALMS1:c.9539+555T&gt;C</t>
  </si>
  <si>
    <t>TCATGACTTCCCTCAAATATTTAGTATTTACAAAGAAAGTGGCTTTACAGTGGAAAATCCTGGCAGATACCAGTTTAGTCAAATGATGAAGATTAGCATCGCCAGTAAAACATCTGTCAACATAATGTGCTCCCCGATATGATGCCCCACCTCATAGAGTATTGTAGGAAAGGAAACCCAATTCAGGGATAAGTTCGTTAGATTTATATTATTCAGCCCAATTTTAGCACATTGCCATTAATTCAGTTTTACTTAATGAGCCTCTTATGA</t>
  </si>
  <si>
    <t>ENST00000613296:c.9539+555T&gt;C</t>
  </si>
  <si>
    <t>NMNAT1:c.116-1617_116-1613del</t>
  </si>
  <si>
    <t>TGTGGCGAAACCTTGACTCTACAGAGTCTCGCTCTGTCGCCCAGGCTGGAGTGCAGTGGCACAGTCTTGGCTCACTGCAACCTCCACCTCCTGGATTCAAGCGATTCTTTTGCCTCAGCCTCCCCTGTAACTGGGAGGCACACAGCACCATGCCCGGCCCATTTTTGTATTTTTAGTAGAAATGGGGTTTCACCATGTTGACCAGGCTGCTCTTGAACTCCTGTTCTCAAGTGATCCTCCCACGTCGGCCTCCCAAAGTGCTGGAATTAC</t>
  </si>
  <si>
    <t>ENST00000377205.5:c.116-1617_116-1613del</t>
  </si>
  <si>
    <t>EYS:c.6424+73718_6424+73724del</t>
  </si>
  <si>
    <t>CTAGATGACGAGTTAGTGGGTGCAGCGCACCAGCATAGCACATGTATACATATGTAACTAACCTGCACATTGTGCACATGTACCCTAAAACTTAAAGTATAATAATAAAAAAATAAATTAATTAAAAATTAAAAAAAAAACTGAATGCCTTTAACAACACCCAACTCACCTCTTGAATGCTTTGCTGCTTAGAAATTTCTGCCACCAGATACTCTGAATCATCTCTCTCAAGTTCAAAGTTCCACAAATCTCTAGGGTAGGGGCAAAATG</t>
  </si>
  <si>
    <t>ENST00000370621.7:c.6424+73718_6424+73724del</t>
  </si>
  <si>
    <t>EYS:c.1460-1543G&gt;A</t>
  </si>
  <si>
    <t>TTTGGCTGTAGCCTTTCTGCTAATTTAGTCAGTGTATCATTTTTTTTCATCTTCTCACTCTTTTTTGTGGGTTAAAACGTTTGTTTTATTTATTTTTTTAATTCTCTGTTTTTTTGAGGTCTTGGGAGGCAGAGGAAAGACGTTAAGAGTTAAATCCTAATGTTTAGTCAGATATATCATTATGAAAAACTTTATACTAATAAATTGGACAATTTAAATGAAATGGATAAATTTCTAAAAAAATACTAGTTGGAAAAACTGAGCAAATCA</t>
  </si>
  <si>
    <t>ENST00000370621.7:c.1460-1543G&gt;A</t>
  </si>
  <si>
    <t xml:space="preserve">OGI1320_002470 </t>
  </si>
  <si>
    <t>PDE6A:c.998+344G&gt;A</t>
  </si>
  <si>
    <t>TAAGGTGGGAGAGGGAGATAGAACAGTAGAAAAATAACTGATTAATGTCAGGTTACTGCTACCTTTTTTTTTTTTTTTTGGTGTAAGGATTAAAGCAGAGGAACTTCATTATCATGCCTATTAAAGACTGGAACAAGACTTTTTGGGAAATTGGCGTTTACCTCTCTCCTAATCTCTAAGAGGATCAGAAAACAACTTAGTTTAGATTTGGTGAAGTGGAACGTTATCACGGTGACTCCACACTGATTTTTAGTTTGGTTTGTTGGAGCT</t>
  </si>
  <si>
    <t>ENST00000255266.9:c.998+344G&gt;A</t>
  </si>
  <si>
    <t>OGI1959</t>
  </si>
  <si>
    <t>PDE6C:c.865-1165G&gt;C</t>
  </si>
  <si>
    <t>GTCTTGGTCTGTCACCAGGCTGGAGTGCAGTGGCATGATCTTGGCTCACTGCAACCTCAGCCTCCCAGGTTCAAGCGATTCTCATGCCTCAGTAGCTGGGATTATAGGCCTGTACCACCACGTCCACTGATTTTCcGTATTTTAGTAGAGACAGGATTTCGCCACGTTGGCCAGACTGGTCTCGAACTCCTGTCCTCAAGTGATCCGCTCGCCTTGGCCTCTCAAAGTGCTGGGATTACAGGCATGAGCCACCGCACCTGGCCTTATTTA</t>
  </si>
  <si>
    <t>ENST00000371447.4:c.865-1165G&gt;C</t>
  </si>
  <si>
    <t>EYS:c.1767-7105C&gt;T</t>
  </si>
  <si>
    <t>GGCCCAATCTAACCAAGGGTTCTTCTCCTTGTTTGGTGGAGAGAGTTACTGTCCTCACCACAGTCCTGACATTTTCTTTTTCAGGACCTGGAACAGGCTCAGGGTGGAGTAAAAGACTGGAAACTCCTGAAGAACTCTCACCTTGCTCCTCAGATTTTTCCTTCATTTTCTTTGACTTAATTTCCTCAAGAGTTTTTATTCCAAAATGCAAACATTCACCTTGCTTTATATTGACTGCAGGTTTCCGGACAGAAGTCACTCGTAATCCAT</t>
  </si>
  <si>
    <t>ENST00000370621.7:c.1767-7105C&gt;T</t>
  </si>
  <si>
    <t>EYS:c.2023+97824T&gt;C</t>
  </si>
  <si>
    <t>TGTGTGTAGGTCTAAGCTAATGTGTGTGTTTCTGTCTTAGTTATCAACAAAACGTACTAAAAAGTTATAATTACTACAAATAGAAAAAAGCCTATATAAATAAATTAAATATTTTTGGAGAGCTGTACAATGTGCCTGTGTTTTAAGCTGACATTACAAAAGAGTCCAAAAATTGTAAAACATATATAAAAGTTTATAAAGTAAAAATGTTGCTGTTAGCTAAGATGAATTTATTATAGAAGAAAGAAAAAAAATTAATGTAGCCTAAAT</t>
  </si>
  <si>
    <t>ENST00000370621.7:c.2023+97824T&gt;C</t>
  </si>
  <si>
    <t>EYS:c.2137+17704A&gt;G</t>
  </si>
  <si>
    <t>GCAACTATTTTAAGAGGAAAGAATCAGAAAGTGCAAGTCTCTTAAGATCCGTGGGCCAAAATTGGCAAAGTAACACTTCTGCAAGATTCTATCGTGCAAACATTTCAGAGTCCATCCAGATTCAAAAATGAGGTAGTATTTATTTTATTTATTTATTTTCTTGTTTGTCTATTTATCCATTTACTTTTTACTACATTTTGCTATCTAGCAATGATTATTTATATTCCACTTACATGCAAAATACACCCTTTTTTACTAAGATACCAAAAG</t>
  </si>
  <si>
    <t>ENST00000370621.7:c.2137+17704A&gt;G</t>
  </si>
  <si>
    <t>OGI1831_003785</t>
  </si>
  <si>
    <t>PPT1:c.536+98G&gt;T</t>
  </si>
  <si>
    <t>CTGAATGCTGGGGCGTACTCCAAAGTTGTTCAGGAACGGTATGTATGGTTAGCTGAAAAGATTACAGACCTGTCACCGTGTGAAAATATCATGCTGACTTTCATGCTCACAGTGATTCCAGCAGTAGTTCCTTGTtATATTCAAATGAGATCTTTTTTTTTGAGATGGAGTTTCGCTCTTGTTGCCCAGGCTGGAGGGCAGTGGCGTGATTTTGTCTCACTGCAACCTCTGCCTCCCAGGTTCAAGCGAGTCTCCTGCCTCCGCCTCCGA</t>
  </si>
  <si>
    <t>ENST00000642050.1:c.536+98G&gt;T</t>
  </si>
  <si>
    <t>EYS:c.2993-27944C&gt;A</t>
  </si>
  <si>
    <t>TTAAATTTACAATAAAATTATGTTGGTTGTCATCTAGCTATTTCAAAATAAATCATGTCTATCTCTATTACCACAAAACTAGTCTAATATTCTATCTGATCGGTCTTCTTAATTACTTTTGAACTAATTTACCTTAATCTGCATAGTAAATAGAATAATTTTATTCTCACAATTAATGTCTATTATGTTACCTTCATGCTTAAAAAACTTTTAAAAAACTTTAGTGGCTTTCAATTACTGTCTTTTCTCCCTCTCAGCTACCTGTAACAA</t>
  </si>
  <si>
    <t>ENST00000370621.7:c.2993-27944C&gt;A</t>
  </si>
  <si>
    <t>EYS:c.5644+35943A&gt;G</t>
  </si>
  <si>
    <t>ATGCCCCTTCTTCTATACCTAATTGACTCATTTCTTCACCCCAGGAGACACATATCCTTTTTCTTCAAATTGAAAATGAAACAAATTGGAATACTATCAGCATTTTCCACTTTATACATTTTAGTATTTAGAGTTGTTTCTATGGTATAGCAGAAAATGGAATGGCATTACAATTTCAATTCATAAGTAGGGTGTTGTTTTATTTTGCTAAGATGAAAATAAGAAGCCAGGGACTATAGCCATTTGAAAGTTGAATTTTTCACCTTGTCT</t>
  </si>
  <si>
    <t>ENST00000370621.7:c.5644+35943A&gt;G</t>
  </si>
  <si>
    <t>EYS:c.5927+6346A&gt;G</t>
  </si>
  <si>
    <t>TCCCATTAATCTTTTAATTAACCCCTGTCAGCAGTGTCAAGAAAAACATGACCATGGAATACTGATTTTACTTTAACTTGAACAAAATAAAAAATGAACAATTGATTTTCATTTTAAATGATAATTATTCATCCAGGGAATTGTTCCTGTATCATAAACCTATTTTTCTCTTCCTTTCCAAGTGGTATATATTCCTTTAACACAAAAGATAGAGTAGGAGTGAAATTTCATCATTTAACGTGGGAAAAGAGGATCTTAAAATGTAACCTA</t>
  </si>
  <si>
    <t>ENST00000370621.7:c.5927+6346A&gt;G</t>
  </si>
  <si>
    <t>PROM1:c.1983+497G&gt;C</t>
  </si>
  <si>
    <t>TTCAATGGAATGCTAATTAAGTGGCAGGTTGTTCAGAAATAGCTAGAAAATGAGTGGTAACTTCCCAGTGTTGCCATGGCAATGGTTAGCTGTCATGGCGCTGGCGGGCATGCCTTATGGTGATGGACAGGGAGACGTGCTTTGGGCTCCTCTTTCTGGTTTCCGCCAGTCTTCAGTCTGGTCCGGAGTCCCACCTGCCTTCTATCTCAAGATGACTGCAGCCTTCCACCCTCTGCTCTGAGTGCGGGCACCCTCACTACTTTAGCTCTG</t>
  </si>
  <si>
    <t>ENST00000510224:c.1983+497G&gt;C</t>
  </si>
  <si>
    <t>SLC7A14:c.-153+23418T&gt;A</t>
  </si>
  <si>
    <t>TTTTGGGGAACAGGTGGTATGAGTACACAAGTAAGTTCTTTAGTGGTGATTTGTGAGATTTTCGTGCACCCATCACCTGAGCAGTATACACTGAACCCAATTTGTAGTCTTTTATCCCTCACCCCCTTCCCACCCACCCCACTGAGTCCCCAAAGTCCATGAAATCATTTTTATGCCTTTGCATCCCCAAAGCTTAGGTCTCACTTATGAGTGAGAACATACAAGTTTCATTTTCCATTCCAGAGTTACTTCACTTAGAATAATAGTCTC</t>
  </si>
  <si>
    <t>ENST00000231706.5:c.-153+23418T&gt;A</t>
  </si>
  <si>
    <t>EYS:c.5928-12809T&gt;C</t>
  </si>
  <si>
    <t>TGTGGAAATTACTTGAATAAATATGAGAATTGAATAAGTCTCCCTAACAGAAATATCCACTATATCTATTTAAATCCCTTTAAAAATCAATTTGTAGTTGCAGTTTAATAAGTATTTTTAAGCTAATGAATATATCTTATATTTACTTAAATATAAAATATCTGTAGATATATGGGGTAATTTGTTAAGATAAAAATATTGCCCCAAAAATCACATGTAGCCCATAAATATGTACAAGTATCATGTATCAATAAAAAAAGTGTGTCTTCA</t>
  </si>
  <si>
    <t>ENST00000370621.7:c.5928-12809T&gt;C</t>
  </si>
  <si>
    <t>EYS:c.6078+23940T&gt;A</t>
  </si>
  <si>
    <t>ACCAGTGCTGTTGTGTTACATGAATATATTGTGCAGTAATGAAGTCTGAGCATTTAGTGTACCTATCACCCAAATAGTGTACATTGTACACAATAGGAAGTATTTCATCCCTCACCCCACTCCCACCCACCCACCATTTAAAGTTTCCAATGTCTATTATTCCACTCTAATTGTACAGTTTTCTTTAAAATGTAAAAGTGGGTAAACATTCTTCAATATAAATTCCAAGATCCACTTAATTTGGGTTAATTAGATTGATTTTTCTAATAA</t>
  </si>
  <si>
    <t>ENST00000370621.7:c.6078+23940T&gt;A</t>
  </si>
  <si>
    <t>EYS:c.6079-37618C&gt;T</t>
  </si>
  <si>
    <t>TTATCAGCTTAAAGAGATTTTGGGCTGAGACCATGGGGTTTTCTAGATATAAAATCATGTCATCTGCAAATAGGGACAATTTGACTTCCTCTTTTCCTAATTGAATGCCCTTTGTTTCCTTCTCCTGCCTGATTGTCCTGGCCAGAACTTCCAACACTATGTTGAATAGGAGTGGTGAGAGAGGGCATCCCCGTCTTGTGCCAGTTTTCAAAAAGAATGTTTCCAGTTTTTGTCCATTCAGTATGATATTGGCTGTGGGTTTGTCATAGA</t>
  </si>
  <si>
    <t>ENST00000370621.7:c.6079-37618C&gt;T</t>
  </si>
  <si>
    <t>EYS:c.6424+72391A&gt;C</t>
  </si>
  <si>
    <t>TACATTCCATTATCAACGTATTCATTAATTCAGCAAAAGTTTGTTGAGCACTTATGCCTACAACTAATCAATTTTGAAATAATTCAGTGAATAAGAGACAAAAATACCTACATCATGGAGTGTACATCCTAGTGGCAAAGAGACAGAAAATATAAGTTAATACATTAAAAGCTGATAGGTACTGTGCAGAAATAAGCCCCAAATGATCTCCTTTGATTTCAGGTCTCACATCCAGGTCACACTGATGCAAGGGGTGGGTTCCCATGGTCT</t>
  </si>
  <si>
    <t>ENST00000370621.7:c.6424+72391A&gt;C</t>
  </si>
  <si>
    <t>EYS:c.6726-25671C&gt;T</t>
  </si>
  <si>
    <t>TCATACCACTGGGCGATAGGCGAAAGTCCCTTCGTGGTCGCCAAAATGTGTCCAGAATTGGTGGGTTCTTGGTCTCACTGACTTCAAGAATGAAGCCGCAGACCCTCACGGTGAGTGTTACAACTCTTAGGGTGGTGCGTCGGGAGTTTGTTCCTTCTGATGTTCGGATGTGTTTGGAGTTTCTTCCTTCTGGTGGGTTCGTGATCTCGCTGGCGCAGGAGTGAAGCTGCGGACCTTTGCAGTGAGTGTTACAGCTCTTAAGGTGGCACG</t>
  </si>
  <si>
    <t>ENST00000370621.7:c.6726-25671C&gt;T</t>
  </si>
  <si>
    <t>EYS:c.6726-4968T&gt;C</t>
  </si>
  <si>
    <t>ATATTCAAAACCTTGAGAATAAAAAAATTCATAGACATTTAAAACTCAGTAGATAGGATAAACTCTAGTCTAAAAACAGTTGAAGAAAAAAATGATACCTAAGAAGAATGTCAGACAGAAAAAAATAAGGGAAGACTTTTTTAAGAGTAAAAGCGAGATTAAGAAATTTAGAGGACTGCTTAACAGGCTTCCAAAAAATGTCTAACATAAGTTCTACAAGTAGAGATTTCAGTGTTCTGTGTATTAGTCCATTCTCATGCTGCTATAAAG</t>
  </si>
  <si>
    <t>ENST00000370621.7:c.6726-4968T&gt;C</t>
  </si>
  <si>
    <t>EYS:c.7229-28889_7229-28888dup</t>
  </si>
  <si>
    <t>TATGGCTGTGTAGTATTCCATTGTATGTGTGTGTGTGTGTGTGTATATATATATAGAGAGAGAGTATATATGTATATATAGAGTATATATGTATGTATATAGTATATAGAGAGTATATATGTATATATATATATACACACACAGACACATACCACAGTTTCTTTATACACTCATTTATTTTTTATTTTTTATTATTATACTTTAAGTTCTAGGGTACATGTGCACAATGTGCAGGTTTGTTACATATGTATACATATGCCATGTTGGTGT</t>
  </si>
  <si>
    <t>ENST00000370621.7:c.7229-28889_7229-28888dup</t>
  </si>
  <si>
    <t>EYS:c.8135-4345T&gt;C</t>
  </si>
  <si>
    <t>TTTAGAGTGTAGTTTGGTGGCATCTATTAACTCTAAAAATGAACACAGACCATCACACTGCGATTCCATTTCTCACATGTTTAAAACGAGATATAATTAAGTATGTTTATCAGTATTAGTAATAACAAAATAATTCTTTTTGAAGTGGAGTCTTGCTCTGTCACCAGGCTAGAGTGCAGTGGTGCGATCTCAACTCACTGCAACCTCTGCCTCCCAAGTTCAAGCGATCCTCCTGCCTCAGCCTCCTGAATAGCTGGGGCTACAGGTGCG</t>
  </si>
  <si>
    <t>ENST00000370621.7:c.8135-4345T&gt;C</t>
  </si>
  <si>
    <t>EYS:c.8135-4971A&gt;C</t>
  </si>
  <si>
    <t>AAACAAAGAGGACAAACTATTAATTTTTGAAAAATATTAGCTATCTGCTTATAACATAAAGCTTGATTTCTAGCTCAAACTATTCACAATACTATGAGCCACATAAGTTAAAGGCCTATAAATTTAAAAACATACCAATTTATGGTAAAAAAATATAGAATGCAAAACTAGAATCTCTGAGGGAAAAATATAGATGATTATACATAACTATGTGTTGAGTAATGTTTTTAAATAAGACAAAACAAGTAAATTGTAAAAGACCAAGAATAT</t>
  </si>
  <si>
    <t>ENST00000370621.7:c.8135-4971A&gt;C</t>
  </si>
  <si>
    <t>EYS:c.862+17341A&gt;G</t>
  </si>
  <si>
    <t>TAACCTCTTTAATATTCTATTGCTTCTTTTTCAAATTCTCCAAGATTTTTGGGTTTGTTTGCCTTTTGTTCAATTTCTCTTTCCTAAAGTTTTCCTTACTCCATCCTCATCAAGGATATTGTTTTTATCTCTTACGCAGAAATGACATATCAAATTTATCTATTATTTATCAATTTATTCTTAACCATACAGTCCCTTACCTTTTTCTCTAGTTTTATTTGCTTGAATCTGTCTACATATAGTAATAACATTCTGACCTGAATTTCTCTC</t>
  </si>
  <si>
    <t>ENST00000370621.7:c.862+17341A&gt;G</t>
  </si>
  <si>
    <t>SLC7A14:c.305-4457G&gt;A</t>
  </si>
  <si>
    <t>ACCAAATTAAGTAAATATTATTTATATGTTAATCTCTCTTTTTTTTTTTTGAAACAGAGTCTTGCTCTGTTGTCCCCACTGGAGTGCAGTGGCATAATCTCACTTCACTGCAACCTCCACCTCCCAGGTTGCAGCCATTCTCCTGCCCCAGCCTCCAGAGTAGCTGGGACTACAGGCGTCCGCCACTGCACCTGGCTAATTTTTTTGTATTTTTAGTAGAGACGGTGTTTCACCATGTTGGCCAGGCTGGTCTCAAACTCTTGACCTCAG</t>
  </si>
  <si>
    <t>ENST00000231706.5:c.305-4457G&gt;A</t>
  </si>
  <si>
    <t>EYS:c.863-40828G&gt;A</t>
  </si>
  <si>
    <t>TTGATGAAAAAGTATTAATTAGCTATAATTATTGAAGGTGATTTTGCCAAAAAAATTAATGGCTTCATTAAAAGTATTAACATTTTATTGTTTTTTCTAAAACTACTGTTTCTGTGTTTATTACTCAATATTGATATATTATCTCTTGTGTCTTAACACCCTTTGGACAAATGATAAACTATAAATTTGCTACATATATGATAAAACAAGTGATCAATTGGGTCCACTAATTGACATTAGGCAAAGTCACTGAGTTTTTGAAAATATTTC</t>
  </si>
  <si>
    <t>ENST00000370621.7:c.863-40828G&gt;A</t>
  </si>
  <si>
    <t>SLC7A14:c.-153+23425T&gt;A</t>
  </si>
  <si>
    <t>GAACAGGTGGTATGAGTACACAAGTAAGTTCTTTAGTGGTGATTTGTGAGATTTTCGTGCACCCATCACCTGAGCAGTATACACTGAACCCAATTTGTAGTCTTTTATCCCTCACCCCCTTCCCACCCTCCCCACAGAGTCCCCAAAGTCCATGAAATCATTTTTATGCCTTTGCATCCCCAAAGCTTAGGTCTCACTTATGAGTGAGAACATACAAGTTTCATTTTCCATTCCAGAGTTACTTCACTTAGAATAATAGTCTCCAATCCC</t>
  </si>
  <si>
    <t>ENST00000231706.5:c.-153+23425T&gt;A</t>
  </si>
  <si>
    <t>USH2A:c.11047+2816A&gt;T</t>
  </si>
  <si>
    <t>TTTCTTCTCTCAAATACTACCACCTACCTATCACCTAAGCCCAAAGCTTGACACTCTTGATGGCTCCCTTTTCCATATGTAATACATAATTTTTTATAAAATCTAATTAGTTTTAAATCTTAAGAATTTTTTTTATAAAAATTGTTCTTCTTTCCCGTCCCTTTTAACACTGCCTTAGTTCAGATCCTCATAGCTATAAGAAGAGAAGTTCTCTGGATCCTCCTAACTAGGATCCCTTCCTCTAGTCATTTTTCCTCTTTCTCACATCCC</t>
  </si>
  <si>
    <t>ENST00000307340.7:c.11047+2816A&gt;T</t>
  </si>
  <si>
    <t>USH2A:c.11390-6356A&gt;C</t>
  </si>
  <si>
    <t>AGTGAACAAGAAAATGTGTTATGGCAGCTTGTCATTGTGCGACTGGTAACTTTGACACCAAATAACAAAACTGCCATTTGCACTTAGGGTAAATTGGTTCACTTGAGCTTCCACTGCTCCTCTTGCTCTGACATACATTTATGAACTCAGGAACTAACCAAGTCGTGTGGCTTCCCAGCTGACTTTAACAAATATGCCCATTTCATTTCATTTAGTCATCAGAATACCAGGGGGCTCAGTCATTTCAGACTCATTGCAGATGGTATAGGG</t>
  </si>
  <si>
    <t>ENST00000307340.7:c.11390-6356A&gt;C</t>
  </si>
  <si>
    <t>USH2A:c.11712-4190del</t>
  </si>
  <si>
    <t>TTAGCCAGGCATGGTGGCAGGCACCTGTAGTCCCAGCCACTCGGGAGGCTGAGGCAGGAGAATGGCGTGAACCTGGGAGGCGGAGCTTGCAGTGAGCCGAGATTGCCCCACTGCACTCCAGCCTGGGCAACAGAGAAAAAAAAAAAAAAAAAAAAAAAAAAAAGAAAGAAAAAAGGAGAATAAGAAAGAGGATTGGGAGGGATATTGCCAGAGAATTAGCAGATACCAAAGCCATGGAACCGTGAAATATAATGGAATATAAGAAACTAT</t>
  </si>
  <si>
    <t>ENST00000307340.7:c.11712-4190del</t>
  </si>
  <si>
    <t>USH2A:c.11712-4192G&gt;T</t>
  </si>
  <si>
    <t>AAATTAGCCAGGCATGGTGGCAGGCACCTGTAGTCCCAGCCACTCGGGAGGCTGAGGCAGGAGAATGGCGTGAACCTGGGAGGCGGAGCTTGCAGTGAGCCGAGATTGCCCCACTGCACTCCAGCCTGGGCAACAtAGCAAAAAAAAAAAAAAAAAAAAAAAAAAAAGAAAGAAAAAAGGAGAATAAGAAAGAGGATTGGGAGGGATATTGCCAGAGAATTAGCAGATACCAAAGCCATGGAACCGTGAAATATAATGGAATATAAGAAA</t>
  </si>
  <si>
    <t>ENST00000307340.7:c.11712-4192G&gt;T</t>
  </si>
  <si>
    <t>USH2A:c.12066+19737A&gt;T</t>
  </si>
  <si>
    <t>GTAAAACTCCCATTCTTCCTTTTCCAAGGACAGATACAGAACTTAATTGATTCATTCATTCACTCATCCAGTCAGTATGTGTATGCATCTAATATATGCCAACTGGGTATATGACAGTGAATAAACCAGACAAAATTGCTTCCCTCTTGAAGCTCTTACTCTAGTGGGGAGATAAAGACAATAAACAAGATAAGGAAATAAAATATATACATACCATACATAAGCTAAGGGCAATGGAGGAAAATAAAGCAGATTCCAGAGTCTCCATTA</t>
  </si>
  <si>
    <t>ENST00000307340.7:c.12066+19737A&gt;T</t>
  </si>
  <si>
    <t>OGI2144_003578</t>
  </si>
  <si>
    <t>USH2A:c.14133+7602A&gt;G</t>
  </si>
  <si>
    <t>CAAGTACTCCACACCTGTGAGATATTGACAATCCTTGTGCTCTTTCACATTGGATGCTCACACCCTTCCTGTTTTCCAAATGAAGAAGCTGAGTTAAGATCACATAGCTTGTGCAAGAAAGATACTTAATTTCTGgTAACTTCACCTTTCTCATTTAAAAAAATGGGTGTGTTATGAGAACTAAGAAATCTGTGTGTCTAGTAGGATGCCTGCTACTTAGTAGGTCCATGCCCCCATCCGATCCCCCCAGGATCTCACTAGTTAAAAGAA</t>
  </si>
  <si>
    <t>ENST00000307340.7:c.14133+7602A&gt;G</t>
  </si>
  <si>
    <t>USH2A:c.14133+8635C&gt;A</t>
  </si>
  <si>
    <t>GACTTTATTCTGAAGCTTCTGTTGTTGGCAATCTTCATGGCGCCTTTGGGACAAGTTATCCATGTGAAGATGGGTTGGTTCTCACCCTCTTGCAGATGCAACTCAGATTTATATTTCACTTAAGGTGATGTTGATATTCCTGTCTCTGTGTTGGAAGTTTGTTTGCTGAAAATAAAATGTTAAACACAACAGATGCTCTTCAACTGAATGTAGATAATATGCCATTCCAGCCTGCCCTCATGGCTCTTCAGATGGCCATGAAAACAAAGG</t>
  </si>
  <si>
    <t>ENST00000307340.7:c.14133+8635C&gt;A</t>
  </si>
  <si>
    <t>USH2A:c.14134-609G&gt;T</t>
  </si>
  <si>
    <t>AAAAATTTCCTGAAGTTAGGCTTTCACATGAAAGCTTACTAAGGAATACTACTACTCCTAAACACGCAGACAGTCTTCTTGTATTGCCATTTAGATCTATCATTCTGATTGATCACTGTGTAGTTGGCTATTATTtGGCCTAATTTAACCCTATACACTCACACATCCATCTACTCTGTCTATTGTACCTGACATTCTACAAATTACTTACTCATGCAAATGACGACCTAAGGCAACCTTTTAGGATATTCGTGTTTAATTATACAAATG</t>
  </si>
  <si>
    <t>ENST00000307340.7:c.14134-609G&gt;T</t>
  </si>
  <si>
    <t>USH2A:c.14134-8412A&gt;G</t>
  </si>
  <si>
    <t>CAGCCACACTGGCCTTCTTGAGGATCTAGCCTTAAGGCCTTTGCACATGCTTTTCTTTTCCATAGAATGCTCTTCCCTCAGATCTTCATCTGGTACTTTCTGCCAATTGTTTCCCAGCTTGATGGTCATCTGTTGGGAGAACCTCCTGGATAAGCCAACCATTTTCTGCTCTATCACCTTATGTATATCACCCTACAATCTCATCATTTCCTTTCTAGCATATATCCTAACCTGTTTATTTTATTTGTGTTTTTATTGATTGCCTCTCCT</t>
  </si>
  <si>
    <t>ENST00000307340.7:c.14134-8412A&gt;G</t>
  </si>
  <si>
    <t>USH2A:c.2809+1053T&gt;A</t>
  </si>
  <si>
    <t>GTGATGTAAGTATTAAAAAACAACTTGAACTGGTTTAAACATAAATGGAGACTATATTATAACTAGATACTCCATAAAAACCTAAGGAGAAGGACCACTGCAGTCAGGACTCAGGAATTAGAATGCTTCCACTGAaACATATTCATTTGTCTCTCTCTCTCTCTCTCTCTCTCTCTCTCTCTCTCTCTCTCTCTCTCAGAAGGGGACTTTACCTCTCTCTTTCTCTACATGGGTATATGGCCACCCTATGTCCCCTGAAATTGTTTATAA</t>
  </si>
  <si>
    <t>ENST00000307340.7:c.2809+1053T&gt;A</t>
  </si>
  <si>
    <t>LAMA1:c.5797-232C&gt;T</t>
  </si>
  <si>
    <t>CTATAACCATGGTGAAAATCTTTATTGAATGGCTGGTTTCCTTCCTTATCTACTTAAAAATGTCTTTGTTTTCTCTTGCCTCAGCCATTTTAAATTGTCCCTACCTGGTACCTGGCTGACTTTCTTGCTGGGAATaTGTCTGGGGGCTACTCTGATGGAGTCACTTCCTCTGTCCCCAGCAGGACTCCACCCTGCCCTGCTCTCACCACGCTTAAGTGGTTCTGTTTTCCAGCTCTCAGAATCCCTTGTTTCTAACGGGAAAGCGGCCGT</t>
  </si>
  <si>
    <t>ENST00000389658.3:c.5797-232C&gt;T</t>
  </si>
  <si>
    <t>EYS:c.1767-6516T&gt;C</t>
  </si>
  <si>
    <t>ATGGAAAGCGCAGTTTAATTTTTGACATCCTGTTGGCTGATTTTCCCAATAACAAGGAATTTCACTGCGTTTTTTATCAATCTCCATGTGCCGAAACCTGCACACCCGTCGAAAACAGCGCCCTTCTTGCCATAACGTGCAAACAGTTTCATTGCCTAGTGCAGCTTCACAGTGACGGAATGGGCAGCTGTCACCTTTGGTACATGTAGAATAGAAAAAAAAATAGCAGTCTTCTCCTTGATTAGGCATGCTGGGTAGATTCTTAGATCA</t>
  </si>
  <si>
    <t>ENST00000370621.7:c.1767-6516T&gt;C</t>
  </si>
  <si>
    <t>LAMA1:c.61+4550A&gt;G</t>
  </si>
  <si>
    <t>ATGACTTATCTGGCTCACCTTCTCTCTCGGCCTTGTCAAGGGCAGGGACTGTTTTATGCATATCTGTTCATTGCTTTGCAGTGTTTCTAGCAGTTAGTAGCCACTTCTTGTTGTTGAGCTAAGTTGAAATGAACAcCTTTATTTAGGAATCAAGTAACTTTAAAAATATTTTGAATAGCTGGGCGCAGTGGCTCACGCCTGTAATCCCAGCACTTTGGGAGGCCGAGGCAGGTGGGTCACATGAGGTCGGGAGTTCAAGACCAGACTGAC</t>
  </si>
  <si>
    <t>ENST00000389658.3:c.61+4550A&gt;G</t>
  </si>
  <si>
    <t>USH2A:c.2809+2939A&gt;G</t>
  </si>
  <si>
    <t>AGCGTATTGTAAAATATTTAGTAGAAAATGTACCAGACTGAGAAAACATATTTGGAGCTCCATTTCTTCAGCTTACTGACTCTCTAAAGGCATTCCCCTGTCCTTCTCTACAGGGAACTTCCATATTTTCTTCCAgCTGTCCATTTCTAGCCAGGGGTAAGCAGATTTATCTTTAAGCTGTTACCTGAGTGGAGCCTGTATCAGTTCTACTCATATCCTATTGATCAGAGCTGCTTTGTATATCCATACCTCACTGCAAAAGAGGCTGGC</t>
  </si>
  <si>
    <t>ENST00000307340.7:c.2809+2939A&gt;G</t>
  </si>
  <si>
    <t>PDE6A:c.1621-349T&gt;G</t>
  </si>
  <si>
    <t>ACACACAGACACACACACACACACACTCCCAGCTCTGATAAATCAGAAACTGTTTTAACAAGTCCTCCAAGTGAGTCTCATGCACACGCAAGTTTGAGAACCACTGGATAAAAGAGTCCTTTTGTTTTTGTTTTTGTTTTCCCTGTAGAGCCCTTGTTAGCTTCTCCAAGGATAGTTGCTCTCCAGGGCACAGTTCGGGAATTACTGATGAAGCTCAGTCAGAGGAATGATGCATGCTCACCTCGTTTCCTAACAACAACAACAACATCT</t>
  </si>
  <si>
    <t>ENST00000255266.9:c.1621-349T&gt;G</t>
  </si>
  <si>
    <t>EYS:c.5644+11353A&gt;G</t>
  </si>
  <si>
    <t>AATTAATGAAAAGATATTTCTGTTGCCTCCCAAATCTATTTATACTTGAAGCATGTGGTGCAGTATGACAAGTTGTCACTTTAATAGGCATCAATCAGCAATATTTTGAAATGGTATTTAATGTCAGTAATTAAGGTATTACTTAAACCCCTCAACAGTGTTATCGCCTAAGTGTAATAGTGATTATCATAAAATGTGTTCTTCCATAATAACCATGTTTCACTAGCAGCATATTTTATTGTGAATACACCATGTCCTGGACTCCATAGT</t>
  </si>
  <si>
    <t>ENST00000370621.7:c.5644+11353A&gt;G</t>
  </si>
  <si>
    <t>RPGRIP1L:c.3295-2113C&gt;T</t>
  </si>
  <si>
    <t>TCGGCAGTTAATAATAACCACTCCCCAAAACTTAGTAGCACATAATTTCCTTTTTTTTTTTTAGGTGGAGTCTCGCTCTGTCACCTAGACTGGAGTGCAGTGGCGCAATCTCAGCTCACTGCAACCTCCACCTGCTGGGTTCAAGTGATTCTTCTGCCTCAGCCTCCCGAGTACCAGGCGCGTGCCACCACGCCCGGCTAATTTTTTTGTATTTTTAATAGAAACAGGGTTTCACCGTGTTAGCCAGGATGGTCTCGATCTCCTGACCTC</t>
  </si>
  <si>
    <t>ENST00000647211.1:c.3295-2113C&gt;T</t>
  </si>
  <si>
    <t>USH2A:c.3158-4509G&gt;A</t>
  </si>
  <si>
    <t>TTTGCTGCCTTAGAAAATCATCTGAAGGTCAGTTTTGATTGCTCTAACTCTGAAATCTGTTGTGTTCCTGATAGCATGCAGAGTTTTAGATGAAATCACTAATATTCACTAAAAAATGTTAAATTACCATGAATTACAAGGTTCTTTGAGAGTGCTGTAAATGAGGCAGTTGATGATATTTGTGGCTCCACCAAGAACAACAGGATTTAAAACCCTAAATTAAAATCCACTGAAAGGGTCAAATGCATTTTCAGTGTTCAACCGATCAAA</t>
  </si>
  <si>
    <t>ENST00000307340.7:c.3158-4509G&gt;A</t>
  </si>
  <si>
    <t>USH2A:c.4252-2990C&gt;T</t>
  </si>
  <si>
    <t>TAGGTTTGCCATTTTTTTCTAAGCCTTTTTAGGAGACCAGAACCCATGTACAACACACAATTTTATTTTCTATACTGATGAAAAAGAAGAGCCAATAAATAATTTATGATTACTTATTTTTCATTAATCTGTCTATGTGTTCACTCATTTGCAATTATCTCATGATGAATACACAACTGGCATAATATATATATTTTGACTTAAACAGGTTAGTCTACCGATCTGGTATACCATGGGATTTAAGGTAAAGTTAGTTGTAACTTTCATGTG</t>
  </si>
  <si>
    <t>ENST00000307340.7:c.4252-2990C&gt;T</t>
  </si>
  <si>
    <t>USH2A:c.4397-7136A&gt;C</t>
  </si>
  <si>
    <t>TGGCTGCCAGAATTTAATGTCAACAATTAAAATTTATTTTGATCCTTACCTAGTGTTTATTACTGTTTGTATACACAACAGACCTTACTAATACAGAGATGCACTATTAGATGGAATTACCATCTGTTCAGAGTGCAATGCTGGCATCTGTCTTAGATGCTAAAACTAAAATGATATTATTTCTAACAAAACAAAATTAACTGCTTTTTACTCACCAACTTTAATTTGTAGTGTGTAGTTGTATCCAAGGAAAAGGCTTGATTTTGAACT</t>
  </si>
  <si>
    <t>ENST00000307340.7:c.4397-7136A&gt;C</t>
  </si>
  <si>
    <t>OGI2148</t>
  </si>
  <si>
    <t>USH2A:c.4627+29212C&gt;T</t>
  </si>
  <si>
    <t>TCTTGGGCTGGTCGGTCTGAGGACCTGAGGTCGTAGGTGGATCTTTCTCACAGAGCAAAGAGCAGGAGGACAGGGGATTGATCTCCCAAGGGAGGTCCCCCGATCCGAGTCACAGCACCAAATTTCATGCGCGTCtGTGTGAAGAGACCACCAAACAGGCTTTGTGTGAGCAATAAAGCTGTTTATTTCACCTGGGTGCAGGTGGGCTGAGTCCGAAAAGAGAGTCAGCGAAGGGAGATAAGGGTGGGGCCGTTTTATAGGATTTGGGTA</t>
  </si>
  <si>
    <t>ENST00000307340.7:c.4627+29212C&gt;T</t>
  </si>
  <si>
    <t>USH2A:c.4627+34729C&gt;T</t>
  </si>
  <si>
    <t>ATATGTTTCTGGGTTTTCCTGGCCTTAGCAAGGTTTTATGTTCACTTACTTAGAGACATTCTGGAGAATATCTCAGAACTCAAAACATGAGATCAAATTGGAGTTCTATGGGAGAGAGGATATTGAATTACTTGGTTTTATTATGGCTGCACTCATAGGGCCAGCCACGTGTAAAAGTTTCATTCTCTTTTTTTGAACAAATATTTATTGAAAACAATAAATTACCAAGAACTGTGTTAAAATATACAGATGTCTAAGCAGACACGGCAC</t>
  </si>
  <si>
    <t>ENST00000307340.7:c.4627+34729C&gt;T</t>
  </si>
  <si>
    <t>USH2A:c.4628-17487G&gt;T</t>
  </si>
  <si>
    <t>AAGTTTAAAAAGCTATTCAAGGGAAGCCCTGAGTTGTTCTTTTATGGCATCTGGTGGCATTTCATATTTGACGTGTTGGTTGCTATTGGTGTTTGCACTGGTGAATCCTTCCACTGGAAATTTCATTTCTTCAGGtTTTACCAATCACCTAAAATGTTTTCTTTCTGGATAATATCCCCTGACTGCTTTCTTCCTCTTTTAGCCTAAAGTTTCCTAAAAATTTAAAATGCATTGTAGTCAGCTTTACTTACCTTTCACAGAATAGCAACT</t>
  </si>
  <si>
    <t>ENST00000307340.7:c.4628-17487G&gt;T</t>
  </si>
  <si>
    <t>EYS:c.6425-35334G&gt;T</t>
  </si>
  <si>
    <t>CCAGCTAAAGCTTTCTTAATTTTGTTGATGTTTTTAAAAAACCAACTCTTAGTTTCATTGATCTTTTTGTTGTTCATCTAGTTTCTATTTCCTTCATTTCTGCTCTGGTCTTTGTTATTTCCTTCTACTAATTGGTGGGGGGGTTGTTCCTCTCTTTCTAGTTCCTTGAGGTACAAAGTTATGATATTTTAGATCTGCCACATATTTGTGAATTTTCTAGTTTTTCCTCTGTAATTGATTTCCAGTTTTATAACACTGTGATCAGAAAAT</t>
  </si>
  <si>
    <t>ENST00000370621.7:c.6425-35334G&gt;T</t>
  </si>
  <si>
    <t>OGI2133_003567</t>
  </si>
  <si>
    <t>USH2A:c.12066+12419C&gt;A</t>
  </si>
  <si>
    <t>AAATGCCAGCAGCGTGTTTTACAATCTGTTAGTGTGTCATTAAGAACACTGTCAGAATTACATAAACATAATGGCAGGCAACCCAGCATACAAAGGAACTCGTATGGAAATAGAAAGTGTCTTGAAAACTCTCTTAATTATCTCTGAAATGTCAAGAGCACTGTCCCCTCTGGAAGTTTTCTAGGGAGAAAAGACCTGTCCATCTAGTGCTTTATTCTAATTCTCATGTGTGTCCCAACAGCAGTGTTTTCTAAATCAAGTGTCACAACC</t>
  </si>
  <si>
    <t>ENST00000307340.7:c.12066+12419C&gt;A</t>
  </si>
  <si>
    <t>USH2A:c.12066+4727G&gt;A</t>
  </si>
  <si>
    <t>TGTTGCTGAGAGAGCCACATAAAACAGGTGCAATGGAGGCATGAATTCTGCTTGTGGTGGCAGTGGATGGAGAACTGGCAGTGGGGGCCCTCCGTGGGGGTGAGAAGCGTATGTGTTGGCAGGAACAGCAGCAGCAGCAGCAGCAGCAGAGGCAGCAGGAGCAGAGAAATGGAAAGAGTGTGGGTTTTAATGCATCACTAGCTGCTCTCCCAACCTCATGAAAAGTTTCACCTCCCTACTCATCTCTATGTAGGTCTTTCTAAGGAAGAA</t>
  </si>
  <si>
    <t>ENST00000307340.7:c.12066+4727G&gt;A</t>
  </si>
  <si>
    <t>VPS13B:c.2515+28231A&gt;C</t>
  </si>
  <si>
    <t>TATATGTGCCACATTTTCTTAATCCAGTCTATCATTGTTGGACATTTGGGTTGGTTCCAAGTCTTTGCTATTGTGAATAGTGCCGCAATAAACATACGTGTGCATGTGTCTTTATAGCAGCATGATTTATACTCCTTTGGGTATATACCCAGTAATGGGATGGCTGGGTCAAATGGTATTTCTAGTTCTAGATCCCTGAGGAATCGCCACACTGACTTCGTTTCAGAATTTTGAGCAGTACTGTTGACATTAGAAAAGATTTAAAAATAC</t>
  </si>
  <si>
    <t>ENST00000358544.6:c.2515+28231A&gt;C</t>
  </si>
  <si>
    <t>USH2A:c.9958+3562C&gt;T</t>
  </si>
  <si>
    <t>GGTGCTTTGCAAGTGTAAAAATGGCCAAGATTCCGTTTTTATCCTCAAGAACTTACAACCTAATCAAGGAGAAAAGTGCCTACAAGGTTATACACAGACCATAAGAGAGGGATGAATGCATGCATATTCTTAAGATGGAGAGATCACTCCAGTCAAGGTAATGAAGGGGGTTGTTCCATTGGATTGGAATCTCAAACAGTGAGTATGATTTTGGCAGGTGTGGCTTGAGCTAAACTGTGAAATTAGCAATCTGCAAAACACAAATAATAG</t>
  </si>
  <si>
    <t>ENST00000307340.7:c.9958+3562C&gt;T</t>
  </si>
  <si>
    <t>VPS13B:c.292-3696G&gt;A</t>
  </si>
  <si>
    <t>CAGTGATGCCTACTGGTTAAAAGCAGATGATGAATTCAAAACTAATGGAAGTAATTTCAGTCTTAATAGTAAATATTATAATTATTCTTATTTTGCTTTATTTTTATTTATTTAATTTGATTGGGGCATGATTTAAATGGAAACTCACTTTTATTTGATACAACTAAAATGTAATTGAAATGAAAGCAAGTTCAAATCATTGAAAGGATTAATTTCTAATTATAGTATATACATTGTCAAAGTTTCCTAACCATAATTAAGAAAGAAGTG</t>
  </si>
  <si>
    <t>ENST00000358544.6:c.292-3696G&gt;A</t>
  </si>
  <si>
    <t>VPS13B:c.148-5342A&gt;T</t>
  </si>
  <si>
    <t>CTCTACTATAGCTCCATTTTCTTCTGCTGCTTGTGCTGTTATTGTCACATATATTGCATCTTGTTAAAAGTTCAACTATACAATTTTATCATTATTGTTTTATGCAATTTCCTTTTAAACCAGAAGAACAAAGGTGAAAAAAGCATTTATACTGTCCTTTACTAGTCACCAACATAATTACCTGTATCGTTTTGTTGTGTGAATTTGTTGTGTGAAGTAGCTGTTGCTACTTCCTTTCAGCCTAATGAACTTCCTTTAATATTCTGCTAG</t>
  </si>
  <si>
    <t>ENST00000358544.6:c.148-5342A&gt;T</t>
  </si>
  <si>
    <t>VPS13B:c.2825-52643A&gt;C</t>
  </si>
  <si>
    <t>TAGAGCAGCCAAGATCCCTTTATAAGGAACATTTAAATAGACTTATGTTCTCATTAGCATAAACACCACTAGTAGTTGAACTGGAATATCAATTTTAAAATTCTGAATTGCTAAAAAACTGATACTTTACTAGTCAATCAAGAAAAAAATTAAAATATAACCTGTAAGGGCCAGTTGGTTAGTTATGTTAACAACATATGAAATATGTAGGTTGCATTTGTGCATTTTTGTACAAATCAATACAGTAAACTTCTTAGTACGTTTTGACTT</t>
  </si>
  <si>
    <t>ENST00000358544.6:c.2825-52643A&gt;C</t>
  </si>
  <si>
    <t>VPS13B:c.292-8022G&gt;T</t>
  </si>
  <si>
    <t>ACTGAGTGACAGAGTGAGACCCTGTCTCAAAAAAAAAAAAAAAAAAAATTGAATTTACCATTTAACCTTAAATATCAGATCTTAAAAAAAAAATCAATTGGTAATTTCCTGGGTAGTGTAGAGCTTAGAGATTATTGTTGTCTTATATGACTCATGGTCAGGCATCTGTTTTTCTGTTCTGAAATTTGCAGATCTCATTAGCATCATTTTGCAATGTTAGAGCAGACATAAAAGTTAGATTATATTCTTCTTTCTTAGGAGACTGAGAAG</t>
  </si>
  <si>
    <t>ENST00000358544.6:c.292-8022G&gt;T</t>
  </si>
  <si>
    <t>VPS13B:c.4709-4074G&gt;T</t>
  </si>
  <si>
    <t>GGTGGGAGAATTAATTGAGTCCAGGAGGTCAGGGCTTCAGTGAGTTGTGGTCACACCACCAAACTCCAGCCTGGGTGACAGGAGGAGACCGTGTCTCAAAAAAAAAAAAAAAAAAAAAAAAAAAAAAAGTATATTTAAGTTGTTTTAATAAGTGTGAAAGAATAACTAAATCTTGCTACATCATACTTTTCAGCAGAAACTTTATTATAAAAATATCACAGAGCAATCTGTGCTTGTCACAGAGTAAGTAATCTGTGTCAAAGATGAGTG</t>
  </si>
  <si>
    <t>ENST00000358544.6:c.4709-4074G&gt;T</t>
  </si>
  <si>
    <t>USH2A:c.1971+6290T&gt;C</t>
  </si>
  <si>
    <t>GACAGAACGAGACTACATCTAACAACAACAACAGAAAAAAACCTAATAAATTCAGCAAGGTTGCAGAGTACAATATCAATACACAAAGATCAATTATATTTCCATATATTTGCACTGAACAATCTGAAAATAAAACTAAGAAAACGTCTTTTAAAAATCACCAAAAGATTAAAATATTTAGAAAAACATTTAGTAAAAGAAGTGTAAAATTATATTCTGAAAACCATAAAACATTGCTGAAATAAAGAAGAACTAAATAAATAGAATGAC</t>
  </si>
  <si>
    <t>ENST00000307340.7:c.1971+6290T&gt;C</t>
  </si>
  <si>
    <t>USH2A:c.6326-10983C&gt;T</t>
  </si>
  <si>
    <t>TGAGGGCCTCTAAAGTATTAGGGCTGCAGCAGCCGCTGCACGGAGACATGATGGCTAGGCTAAAACAGTAAGGTCAAGTTGTTTGGACAGAAAGGCTACAGGGTGTGGTCCTGGCTCTTGTGTAAGAATTCTGACTGCACTAACCATGCCTATGAAGGAAAGGAATTGTTGTTTTGTAAGGGATTGAGGTTTGGGAGATTAATCAGACACGATCAGCAGGGAGAGCACATGTGTTTTTATGAGAATTATGCTGAGATAGGTAACAGATGA</t>
  </si>
  <si>
    <t>ENST00000307340.7:c.6326-10983C&gt;T</t>
  </si>
  <si>
    <t>USH2A:c.785-9822G&gt;A</t>
  </si>
  <si>
    <t>TCATTGCTTTAATGGAAATGGCTTTACATTTTTTCCTTTAAATAAGATGTTTGCCATATCACGTTAAAAACTTTCCCACCTATTCCTAATTGTTTAGGGTTTTCTACTTGTATATTATGTATTTTTCAAGACATGACAGATTTAATTTGTTGAGATATAATTTTCATGCCTATGCTACCAAGTGAGATTGGTCCTGTCGTTTTCCTTTCTCTTAATGTCCTTGAGAACATGTTTCAGCTCTCCCATTTATGACCTGTTTTACCTTGGGCA</t>
  </si>
  <si>
    <t>ENST00000307340.7:c.785-9822G&gt;A</t>
  </si>
  <si>
    <t>USH2A:c.8846-4281T&gt;C</t>
  </si>
  <si>
    <t>CACATCTCAGTCCAGATGCATGGGGCCCAGAAAATGTAGTTCAATGATTTGACAAGAAGAGAAAAATGTTGGTATTAGGGAGTTCTAGAAATCTTTGCCTTCAGATTACAGAAGATAGCTTTTATCTTCCGACTACATTTTAAAATTTAAATGGTATTAATGATATTAATGGTTACTAATGTCTTTCTCTGTTTTTTCATGCCATTCTATTTTATATGTAATAAAGAACTTAATATGCTGTTACTTTTCTTGCCTTTCTCATCTGCTGTT</t>
  </si>
  <si>
    <t>ENST00000307340.7:c.8846-4281T&gt;C</t>
  </si>
  <si>
    <t>VPS13B:c.5296-1330T&gt;C</t>
  </si>
  <si>
    <t>GTTCGCTGCAAACACCACCTCCCAGGCTCAAGCCATCAGCTTCCTAAGTAGCTGGGACCACAGGGGCACACCACCAGGCCTGGCTAATTCTTCATATTTTTTGTAGAGATAAGGTTTTGTCATGTTGCCCAGCCCGGTCTCGAACCCCTGGTCTCAAGCAGTCTTCCCACCTCAGCCTCCCAAAGTGCTGGGATTACCAGTGTGAATCACTGCACCTGGCCTAATAATTTCACTTCTAGGAGCCTGTCTGTCCTGAGAAAATATTACTAG</t>
  </si>
  <si>
    <t>ENST00000358544.6:c.5296-1330T&gt;C</t>
  </si>
  <si>
    <t>USH2A:c.6657+756T&gt;C</t>
  </si>
  <si>
    <t>AGTAATTCCTTTTGTTTTTTGATGAAATATAATCTTTTTTAAGTTTAATAGCACGTCTGAAAATAACTGAATATAAACATGAGATTGTCCCTATTTGTTTTAAACACACTCTTCATTTTATAGCAATACCTATACAAGGATATTTGCTTTGATAAATGCCATAGAAAATATTCTGCTCTTGATTATGAATAAATTTACATTTATGTAGACACTGTGTATGCATTCATTTTACTTAACATGCTCTTGAATGCTCTAAATATTATACCATGA</t>
  </si>
  <si>
    <t>ENST00000307340.7:c.6657+756T&gt;C</t>
  </si>
  <si>
    <t>USH2A:c.7594+4041C&gt;T</t>
  </si>
  <si>
    <t>AAAACCTGTAGAATTCGAACAGTTTATTCTGTAGGTTTACTTAGACAACTTTTCATTTGTTCATTATTTTGATGACACAGTGATATTTTAAGTACAGTTATATGCTGCACAACATTTCAGTTGATGATGAACCATATATATGACGGTGGACCCATAAGATGATGATATCATATTTTTACTGTACCTTTTCTGTGTTGAGATACACACTTATCATTGTGTGACAAATGCCTACAGTATTCAGTACAGTAACATGCTGTACAGGTTTGTAGC</t>
  </si>
  <si>
    <t>ENST00000307340.7:c.7594+4041C&gt;T</t>
  </si>
  <si>
    <t>OGI2201_003682</t>
  </si>
  <si>
    <t>BBS9:c.2299-4000G&gt;C</t>
  </si>
  <si>
    <t>TCTCACAATATAAGACAAAAATACTAGTATGATTGATATTTATCTTTAAAAGATAAAGGTTAGGTATGTGCATGTAGTATGTGTATGTATTTAGACATTAAAACTGAACATTAGCCTTACCAATTTAAGGGCTATCAATAAAGGTAATGAGCTCAAATACCAAAAAGGTGTTTAAAATAGCTTACCTTTAAGGTACTTCTCACACCTGAGATTCTAGATTCCACAGTTTTATTTCATATTTCCATAGGTAAGTATGCTACATGTTTGATC</t>
  </si>
  <si>
    <t>ENST00000242067.10:c.2299-4000G&gt;C</t>
  </si>
  <si>
    <t>EYS:c.2023+54379G&gt;A</t>
  </si>
  <si>
    <t>GCTCCTGACATACCAGTTTTATCAAAGCAGAAATTGCAGATATAAATTATTATAAATAATTACAAAATGAAATTTTTGTAAAAATTAGACCAGAGGGAAAAGAAAATTAGGTGGGTCTTGATTTTAAAAAAGTGAGTGTTGGAGTGGATTATGAGTTTTGATTATGCATCCAGCTCTGAAATGTTTATAAACTTGTTTGCTACTGACTCTTTAGTGCAGAATAGAAACAGAATAAAAGCCTATACTTAACACAGGGGCACAATGGAAAAT</t>
  </si>
  <si>
    <t>ENST00000370621.7:c.2023+54379G&gt;A</t>
  </si>
  <si>
    <t>EYS:c.2023+90876_2023+90967del</t>
  </si>
  <si>
    <t>TATATATATATATTCTTCTAGAATATATAAAGAATATATAAATATATTCTTCTAGAATATATAAATATATTCTTCTAGAATATATAAATATATTCTTCTAGAATATATAAATATATTCTTCTAGAATATATAAAGAATATATAAATACGTTCTTCCAGAATATATAAATACGTTCTTCCAGAATATATAAATACGTTCTTCCAGAATATATAAATATGTTCTTCCAGAATATATTATTCTGGAATGTAGAATGTTTAGGCTATTTATGTA</t>
  </si>
  <si>
    <t>ENST00000370621.7:c.2023+90876_2023+90967del</t>
  </si>
  <si>
    <t>EYS:c.2024-52128A&gt;C</t>
  </si>
  <si>
    <t>AGAAGAAAGGCTAGTCTTATTTTGGCTATTTCATTAAACAAAAAGGGAATAACATTTTTGATTCCAGTTTTCACAGTAGGAATTGAGTGAACAAATCCCTGAAGAAAATTATAAAACACGTATATAATACAATACGCAACTATCTGAAGGTACGAGAGGGTGAATAGAAGTAGGCAGGTTCTATAGCAGAGTTTTTGCTTACCTGTAGAAGGGTAGGTAGGCAGAGTAAATTACTGTCACTGTGGGCTTTGGACTACGTCTAAGGACAGT</t>
  </si>
  <si>
    <t>ENST00000370621.7:c.2024-52128A&gt;C</t>
  </si>
  <si>
    <t>EYS:c.2024-52156A&gt;C</t>
  </si>
  <si>
    <t>AAACCAAGTTGCTTGAGCACTTCAGATGAGAAGAAAGGCTAGTCTTATTTTGGCTATTTCATTAAACAAAAAGGGAATAACATTTTTGATTCCAGTTTTCACAGTAGGAATTGAGTGAACAAATCCCTGAAGAACATTATAAAACACGTATATAATACAATAAGCAACTATCTGAAGGTACGAGAGGGTGAATAGAAGTAGGCAGGTTCTATAGCAGAGTTTTTGCTTACCTGTAGAAGGGTAGGTAGGCAGAGTAAATTACTGTCACTG</t>
  </si>
  <si>
    <t>ENST00000370621.7:c.2024-52156A&gt;C</t>
  </si>
  <si>
    <t>EYS:c.2024-63743G&gt;A</t>
  </si>
  <si>
    <t>ATCACTCACTCCCCCCAAAATATTCTGAATTATTTTTTAGCTTCTACCTTAAAATCATGTCCTGATAGGATTGACATGTTTTTTCACAAATTTCCAATAAGACACTCATGAAAACACAAGAAGTGATTAGCAAAACACACCACATGAAAATTTAGTAATAATTAGCCTAGTACCAGAATTAGGATTTGATGAAATAAGGCTGGAAACTTAGATAATCTGATGCCTAATTCCATCTTAATGAAAATAGAGACTCAAATGTTCCCCATTTGT</t>
  </si>
  <si>
    <t>ENST00000370621.7:c.2024-63743G&gt;A</t>
  </si>
  <si>
    <t>EYS:c.2024-74871C&gt;T</t>
  </si>
  <si>
    <t>TATTTCTCTTGTCTGATTAACCTAGCTAGGACTTCCAATACTATGTTGTTAATAGAAGCGGTAAGAGATGGCATCCTTGTCTTGTGCTGGTTTTCATGGGGAATGCTTACAGCTTTTGTCCATTTAGTATGATGTTGGCTGTGGGTTTGTCATAGATTATTCATTATTTTGAGGTATGTTCCTTCAATACCTAGTTTGTTGAGAGTTTTTAACATGAAGAGATTTTGAATTTTATTGAAAGCCTTTTATGCATCTATTGAGATAATCACA</t>
  </si>
  <si>
    <t>ENST00000370621.7:c.2024-74871C&gt;T</t>
  </si>
  <si>
    <t>EYS:c.2024-74881T&gt;C</t>
  </si>
  <si>
    <t>ACGCTTTATTTATTTCTCTTGTCTGATTAACCTAGCTAGGACTTCCAATACTATGTTGTTAATAGAAGCGGTAAGAGATGGCATCCTTGTCTTGTGCTGGTTTTCATGGGGAATGCTTACAGCTTTTGTCCATTCAGTATGATGCTGGCTGTGGGTTTGTCATAGATTATTCATTATTTTGAGGTATGTTCCTTCAATACCTAGTTTGTTGAGAGTTTTTAACATGAAGAGATTTTGAATTTTATTGAAAGCCTTTTATGCATCTATTGA</t>
  </si>
  <si>
    <t>ENST00000370621.7:c.2024-74881T&gt;C</t>
  </si>
  <si>
    <t>EYS:c.2024-90532A&gt;T</t>
  </si>
  <si>
    <t>AATGTCTGTTCTATTGGATTTCAGAATTGCATGGGGCCTGTAGCCCCTTTGTTTTGGCTAGTTTCTCCCATTTGGAATAGGTGTGTTTACACAATGCCTGTACCCCCATTGTACCAAGGAATTAACTAACTTGCTTTTGATTTTACAGGCTCATAGGCAGAAGGGTCTTGCCTTGTCTCAGATGAGACTTTGGACTTGGACTTTAGAGTTCATGCTGGAATCAGTTAAGCCTTTGAGGACTGTTGAGAATGCATGTTTTTGTTTTGAAAT</t>
  </si>
  <si>
    <t>ENST00000370621.7:c.2024-90532A&gt;T</t>
  </si>
  <si>
    <t>EYS:c.2024-90538A&gt;G</t>
  </si>
  <si>
    <t>AGGTTTAATGTCTGTTCTATTGGATTTCAGAATTGCATGGGGCCTGTAGCCCCTTTGTTTTGGCTAGTTTCTCCCATTTGGAATAGGTGTGTTTACACAATGCCTGTACCCCCATTGTACCAAGGAATTAACTAGCTTGCATTTGATTTTACAGGCTCATAGGCAGAAGGGTCTTGCCTTGTCTCAGATGAGACTTTGGACTTGGACTTTAGAGTTCATGCTGGAATCAGTTAAGCCTTTGAGGACTGTTGAGAATGCATGTTTTTGTTT</t>
  </si>
  <si>
    <t>ENST00000370621.7:c.2024-90538A&gt;G</t>
  </si>
  <si>
    <t>EYS:c.2024-90545T&gt;G</t>
  </si>
  <si>
    <t>AACTTTAAGGTTTAATGTCTGTTCTATTGGATTTCAGAATTGCATGGGGCCTGTAGCCCCTTTGTTTTGGCTAGTTTCTCCCATTTGGAATAGGTGTGTTTACACAATGCCTGTACCCCCATTGTACCAAGGAAGTAACTAACTTGCATTTGATTTTACAGGCTCATAGGCAGAAGGGTCTTGCCTTGTCTCAGATGAGACTTTGGACTTGGACTTTAGAGTTCATGCTGGAATCAGTTAAGCCTTTGAGGACTGTTGAGAATGCATGTT</t>
  </si>
  <si>
    <t>ENST00000370621.7:c.2024-90545T&gt;G</t>
  </si>
  <si>
    <t>EYS:c.2138-22824C&gt;T</t>
  </si>
  <si>
    <t>GCACTGCCTAGTAGAGCTGTGAGAAGAGAGCCACAGTCCTCCAGACCCAAGAATGGTAAATCCACTGACAGCTTGCACCGTGCCCCTGGAAAAGTAGCAGACACCCAATGCCAGCCTGTGAAAGCAGCTAGGATTGAGAGCCGTACCCTGCAAAACCACAGGGACAGAGCTGCCCAAAGCCATGGGATGTGATCTGGATGTGAGACATGGAGCAAAGGAGACCATTTTGGAACTTTAAGATTTAATGACTGCCCTATTGGATTTCAGACT</t>
  </si>
  <si>
    <t>ENST00000370621.7:c.2138-22824C&gt;T</t>
  </si>
  <si>
    <t>EYS:c.2138-28880G&gt;A</t>
  </si>
  <si>
    <t>TCTCGATCTCCTGACCTTGTGATCTGCCTGTCTCGGCCTCCCAAAGTGCTGGGATTACAGGAGAGAGCCACCATGCCCGGCCAATATCTGAATCTTTACTTGTTTCTTGACAGTATTTTCCAAAATGCTAGGTGAACTTTGGACTGTGCTCTCCTAATGCACCTTCTGACACAGGAAGGCAACGCAGGCCCATATAACATCCCCTCCCTTATTTGTAGCCCATTCATCTGTGCATAAATGCCTTCCTACATGTTTGTTTTATTTCTGGTC</t>
  </si>
  <si>
    <t>ENST00000370621.7:c.2138-28880G&gt;A</t>
  </si>
  <si>
    <t>EYS:c.2382-8835C&gt;T</t>
  </si>
  <si>
    <t>CAGGCACTGGTGACTTTACTTCATACTTTACAAAGATAAATCTCTTCTACTTTGAATTTATCCTTTCTTTCCATGAGTTTGAAGTTCTGGCTTAGTGAATTTTAAAGGCTTTTTGAATATCACTTGGACTCCGGTTTGACTAAGTACCAGGAAGAGTCTCATCAAGAAGCAGGATCATAGATAATAAACTTTCCACATAACCCCTGTGAGACAGGTGACCCTTTAGTGACATTTTAAAAAATAATTATTTTGCTTCTCTTTCCTTCTTTC</t>
  </si>
  <si>
    <t>ENST00000370621.7:c.2382-8835C&gt;T</t>
  </si>
  <si>
    <t>EYS:c.2993-27855T&gt;C</t>
  </si>
  <si>
    <t>TCTATCTGATCGGTCTTCTTAATTACTTTTGAACTAATTTACCTTCATCTGCATAGTAAATAGAATAATTTTATTCTCACAATTAATGTCTATTATGTTACCTTCATGCTTAAAAAACTTTTAAAAAACTTTAGCGGCTTTCAATTACTGTCTTTTCTCCCTCTCAGCTACCTGTAACAAGTTCTGCCTACCTTTTCTATCTAATACTGTAACACTTTTTGAATAATTTTCAGTCTTCTAGCTGTTTAATTCCTCCTGCTGTCTTATTTC</t>
  </si>
  <si>
    <t>ENST00000370621.7:c.2993-27855T&gt;C</t>
  </si>
  <si>
    <t>EYS:c.3443+45204A&gt;G</t>
  </si>
  <si>
    <t>TTCTATTTCAAAAAAAGGAAATTTCTCAAAGTGTTCTATTTTATTTTTAATAAATACTTTGCAGAATCTTAATATGAATTTACAGTAGAATGCTTTTAAATATCTCTTATGATTATTCTGAAATATATTGAAATGCATGAATCAAACAGAATAGTTTAATACATTGCTATTTTGTTATTTTTCATTATTCTAGGTTAATTTAAATTTTATTTCATGTTAATATTGGGAATATTAGAATGCTCCAGGTGATAATTTATTCATCAAATAATA</t>
  </si>
  <si>
    <t>ENST00000370621.7:c.3443+45204A&gt;G</t>
  </si>
  <si>
    <t>EYS:c.3444-58232C&gt;G</t>
  </si>
  <si>
    <t>TATCTCTCTCTCTATATATTTTTTTTCCTATAATTATGTGTTATAATTGTTGCTTTAAAAATTGTGTATTTTAAAAAATAAGGAGAAAATATAAGACTTTACCTACAAATTTGCCATATCTGGTGCTCTTTATTGTTAGTGTAGTTTTCAGTATAATTTCTCTTCAGTTGTGTTTTTTTTAGCATTTACTGAAATGCAGGTCCACTGAAATGAATTATTATTGAAACTCAAAGAAAATAAGAGGTTTGTATTCAGAAATATCTTTTTTTA</t>
  </si>
  <si>
    <t>ENST00000370621.7:c.3444-58232C&gt;G</t>
  </si>
  <si>
    <t>EYS:c.5644+19516del</t>
  </si>
  <si>
    <t>AATCTCCCACCATTATTGTATGGGAGTCTAAGTCTCTTTTTAGGTCTCTAAGAACTTGCTTTATGGATCTGGTGCTCCTGTATTGGGTGTATACATATATTTAGCATAGTTAGCTCTTCTAGTTGCATTGATCCTTTAGCATGACATAATGCCCTTATTTGTCTTTTTTGATCTTTGTTGGTTTAAAGTCTATTTTATCAGAGATTAGGATTGCAATCCCTGCTTTTTTTTGCTTTCAATTTGCTCGGTAAATATTTCTCCATCTCTTTA</t>
  </si>
  <si>
    <t>ENST00000370621.7:c.5644+19516del</t>
  </si>
  <si>
    <t>EYS:c.5644+40307C&gt;T</t>
  </si>
  <si>
    <t>GGGGACATGGATGAAGCGGGAAACCATCATTCTCAGCAAACTATCGCAAGGACAAAAAACCAAACACCGCATGTTCTCCCTCATAGGTGGGAACTGAACAATGAGAATACATGGACACAGGAAGGGGAACATCATACACCAGGGCCTGTTGTGGGGTAGGGGGAGGAGGGAGGGATAGCATTAGGAGATATACCTAATGTTAAATGACGAGTTAATGGGTGCAGCACACCAACATGGCACATGTATACATATGTAACAAACCTGCACGTT</t>
  </si>
  <si>
    <t>ENST00000370621.7:c.5644+40307C&gt;T</t>
  </si>
  <si>
    <t>EYS:c.5644+57482A&gt;G</t>
  </si>
  <si>
    <t>TGACTGTTTCTTCTTTAGACCATGGGTCATATTTTATTGTACCTTCAAGAGACTCATAATTTTTTATTATATGTTGAACGTTGTGTGGGAAAGAATCACAAACATTGTAGTAAATAAAATTTTCTCCTCAGAATGTTTAATTTAATTTAATTTATTTATTTATTTTTGAGACGGAGTCTCACTCCGTCACCCAGGCTGGAATGCAGTGGCGCAATCTCAGCTCACTGCAAACTCCACCTCCCGGGTTCACGCCTTTCTCCTGCCTCAGCC</t>
  </si>
  <si>
    <t>ENST00000370621.7:c.5644+57482A&gt;G</t>
  </si>
  <si>
    <t>EYS:c.6192-10282C&gt;T</t>
  </si>
  <si>
    <t>GATACCAAAACCTGGCAAAGAAACACACAAAAAAAGAAAATTTCAGGCCAATATCCCTGATAAACATCGATGTGAAAATCCTAAATAAAATACTGGCAAACCTAATCCAGCAGCACATCAAAAAGCTTATCCAATCAAGTCGGCTTCATCCCTGGGATGCAAGGGTGGTTCAAATACACAAATCAATAAACCTACTCCATCACACAAACAGAAACAATGACAAAAACCATAATTATCTCAATAGATGCAGAAAAGGCCTTCGACAAAATT</t>
  </si>
  <si>
    <t>ENST00000370621.7:c.6192-10282C&gt;T</t>
  </si>
  <si>
    <t>EYS:c.6425-65284A&gt;G</t>
  </si>
  <si>
    <t>GTCATCTATTATTCAGCATTACCATTCCTCCTACCTTTAAGTTATCTGACATGATATTGGTAACTACATTTTATTTGGGTTTACAACACAATTATTTTTCTTGTTGTATTACACCTTCTAAAACAGGGTGTTCAGTAGGTCCATGTGAATTAGTGATTTGTTCACAAAGCTCAATCTCCTTTTCTACCATCTCCTTTTCTAAGTGCCAGGAACAATTGATCTCCCAACGGCAGATACTAAAAAAAAGAATAGCAAAGTACTTGACCATCC</t>
  </si>
  <si>
    <t>ENST00000370621.7:c.6425-65284A&gt;G</t>
  </si>
  <si>
    <t>EYS:c.6834+3750C&gt;T</t>
  </si>
  <si>
    <t>TACATCCTGACCAACCGTGCTCATAAATTTCCACTTCTCCACCTCCTCACTAAGACTTGTTATTTTCTGGTTTGGGTAATAGCCATCTTAACAATTATAAAGTGATATCTCATTGTGGTTTTGATTTGCATTTCTCTGATGATTGGAGATGGTGAGCATCTTTTCACATACCTGTTGGCCATTTGTATGTCTTATTTGGAAAAATGTCTATTCAAGTCTTTTGCCTATTTTTTAATCAGGTTATACTGGGGTTTTGTTTGTCTGCTTTGT</t>
  </si>
  <si>
    <t>ENST00000370621.7:c.6834+3750C&gt;T</t>
  </si>
  <si>
    <t>EYS:c.7228+20953A&gt;G</t>
  </si>
  <si>
    <t>CGCTACAAAGAGAATAAAATACCTAGGAATAGAACTTACAAGGGATGAGAAAGCCCTATTCAAAAAGAACTACAAACTACTGCTCAAGGAAATAAGAGGACACAAACAAAAGGAAAAACGTTCCATGCTCATGGGCAGGAAGAATCAATATCGTGAAAATGGTCATACTGCCCAAAGTAATTTATAAATTCAATGCTATTCCTATCAAGCTACCATTGACTTTCTTCACAGAATTAGAAAAACCTACTTTAAATTTCATATGAAACCAAA</t>
  </si>
  <si>
    <t>ENST00000370621.7:c.7228+20953A&gt;G</t>
  </si>
  <si>
    <t>EYS:c.7228+20954C&gt;T</t>
  </si>
  <si>
    <t>GCTACAAAGAGAATAAAATACCTAGGAATAGAACTTACAAGGGATGAGAAAGCCCTATTCAAAAAGAACTACAAACTACTGCTCAAGGAAATAAGAGGACACAAACAAAAGGAAAAACGTTCCATGCTCATGGATAGGAAGAATCAATATCGTGAAAATGGTCATACTGCCCAAAGTAATTTATAAATTCAATGCTATTCCTATCAAGCTACCATTGACTTTCTTCACAGAATTAGAAAAACCTACTTTAAATTTCATATGAAACCAAAA</t>
  </si>
  <si>
    <t>ENST00000370621.7:c.7228+20954C&gt;T</t>
  </si>
  <si>
    <t>EYS:c.7229-8657T&gt;A</t>
  </si>
  <si>
    <t>AATATTTTAGAATATACAATAGTGCATCTAAACAGCCATATCTTGAAAAATGATATAGTAACAAACTAAAAGAATGTATCCACGGAACTTGAGCGATAACCCACTCCAACCTCAATGTTTCTTAATTTCTGAACAAAATATTCACGGGCATGAAGAAATTCATGAGTTAGAAATGAGAAAATTATTCAAAACACATCAGTTCCAGAATATCCTGTGTGTGTAATAGCTAGGAATCTTATTTTATCACAATAAACTACTAACCAAGGGAAT</t>
  </si>
  <si>
    <t>ENST00000370621.7:c.7229-8657T&gt;A</t>
  </si>
  <si>
    <t>EYS:c.7899-5013A&gt;G</t>
  </si>
  <si>
    <t>TGCTTAGGATCATTTCAGCTATTTAGCCTCTTTTTTGTTTCCATATGAATTTTAGAATATTTTAATTCTGTGAAAAATTATGTTGGTAGTTTGATAGGAATAACATTGAATCTGTAAATTGTTTTTGTCAGTATGGCCATTTTAACCATATTGATTCTTCCTTTCCATGAGCAGGAAATCTTTTTTCATTTGTTTGTGTTATCTCTGATTTCCTTTATCAGTGTTTTGTAATTCTCATTGTAAAGATCTTTCACCTCCTTGGTTCCGTAT</t>
  </si>
  <si>
    <t>ENST00000370621.7:c.7899-5013A&gt;G</t>
  </si>
  <si>
    <t>EYS:c.8135-1246del</t>
  </si>
  <si>
    <t>TCACCCTTGTGTTCTTAAAATTTTAACCAGATTTTATGAAAATGTGGTCCAAGGAACCCCTATGTCAGAAACACCAGGAGGGTTTATTAAAAATGGGGATGCTTTCTGAATCCCATCCCAGCATTTTTTTTTTTACGACAGGGTCCCACTCCGTCGCCCAAGCTGGAGTGCAGTGGTGCCATCTCAGCTTACTGCAACCTCCACCCCCACCTCCACCCCCACCTCCACCTCCCAAGCTCAACTGATCCTTCCACTTCAGCCTCCCCAGTA</t>
  </si>
  <si>
    <t>ENST00000370621.7:c.8135-1246del</t>
  </si>
  <si>
    <t>EYS:c.8297-234G&gt;A</t>
  </si>
  <si>
    <t>GCCAGGAATGTGCAGAGAATTTATAGGTACCTAGCCTGACAATAGTGAATGCCATTAAATGGTATCATAAGGAACAGGCTTTCATTTGAAGAAAAACCTCACTTTAACTTACTACCACAATATATTCATTCAATAAGAACTGTCCACAACTAGAGAAAATTTATGTAGCCAATTGCTGAACAAAATGAAAGAATACAGGATATATGCATTTTGCTCTGTGAGTGGAAACAAAACTAACACAATTGTGCTCAAGATCTGTTACTTTTTTCC</t>
  </si>
  <si>
    <t>ENST00000370621.7:c.8297-234G&gt;A</t>
  </si>
  <si>
    <t>EYS:c.863-28821C&gt;T</t>
  </si>
  <si>
    <t>TTATGCAAACCTAGGAAAATGTCCCTGATATAACCTGTTGTTGTTGTTTTAATATTGCCTCTTCCTTCTGCAAAATTTTATGTCACAATACTTGGTGCTTCTCTTCATCTCTGGATAATGACTTACGTCTTCAATAAGGTCCACATTCTTAGCAAAGCTTAGTTCTTGAGGGCTCTCAGCACTATGCTGCACTATTCACTCCTCCACATTGCTCTCCAATCACTCTGCCTTTTTAAAATGTTCACTGAAGATCAGGGAAAATAAAAAATG</t>
  </si>
  <si>
    <t>ENST00000370621.7:c.863-28821C&gt;T</t>
  </si>
  <si>
    <t>EYS:c.863-36523T&gt;C</t>
  </si>
  <si>
    <t>GTACAGTCATATTTTTGGGAATGAATCATGTCACAAAAAAGAAAAAGATCTCCAGAAGGCCTCTATGAAGAAATGACATTTAGTTTTTCAAGCAAGCAAATTTAACGGCTTCAGATATGACTTTGGCCTTGAACCTCCTGTGTCATTCCTTGATATGTCTGAGCAGGATTTAGAAAATAGTACTTCTGAATGTCCTTGCAAAGGTCAATTCATTTCTCTGGTTCTCAGTGTCCTCCTCTGAAAGCAGGAGAATTTGAAGTAGATATATAT</t>
  </si>
  <si>
    <t>ENST00000370621.7:c.863-36523T&gt;C</t>
  </si>
  <si>
    <t>SAMD11:c.306-493G&gt;T</t>
  </si>
  <si>
    <t>TGAGGGAAGAAAAGAGTTAAATGCATGTTGATTCCAAGCCCCCGCCTGCCGGGGGGACAGCGGGAGGTTGGAGCACGCAGCCCTGGTGCCTGGTGCGAGCTGCACGTGTCTGCCGGTGCCGTGTGTGCGTGGGGCTCGTCTCATCAGCTGCAGGACTGTGGTCTGGGCCTCAGTTTCCTCGTGTGCAGAAATCGGGGGTCAGGGGATGGTTCACATGTGGCACATTCTCTCCTGGGGCCTGTCCTGCAGGACTGCCCCTGAGCAGATCGG</t>
  </si>
  <si>
    <t>ENST00000342066.7:c.306-493G&gt;T</t>
  </si>
  <si>
    <t>OGI2205</t>
  </si>
  <si>
    <t>SDCCAG8:c.1474-12328A&gt;G</t>
  </si>
  <si>
    <t>TGAAAGTGCCTGTCATTCTCTTATTTATTAAAATTGCTTTAGTGTGGTTTTTATATTTAGTCTTGGTTTTTACTTGTGTTTAGCCATATTTCTACACATAGGGAATGGTGCAGGAGCTACACCACTGTAATTAGTGGTGGGCAATGTGACCAAGTTTTTTTAATCTTATATTTCAATATAATTTCAATGCAATTACTCTATTGAGTAATTAATAACTTTAATGTTTAGACATAAGTGAATATAATTAGCCCAAAATATAACAACATAATG</t>
  </si>
  <si>
    <t>ENST00000366541.7:c.1474-12328A&gt;G</t>
  </si>
  <si>
    <t>USH2A:c.6049+5973G&gt;T</t>
  </si>
  <si>
    <t>GGCTCCAGCCACCCACAACCCTAAAGTGGAATAAGCAGATTGGAAAATAAATGAATGAGTAAATAGAAATCATTATAAAATAAAAATTCATAAAGTCTATGATAATCATACAGATGCACAGCAATAAACAATTCAtTATGACAGGGCTCAGCAAGCTGCCCAGTCTGTGATTGCTGGGGTTTGAACTTCATGCTGGTAGGCGGTGCTCCTTACAATGTTCACTTGGAAAGCATTTATTCCTTGATTTATATACCACACCACTGTCACTCA</t>
  </si>
  <si>
    <t>ENST00000307340.7:c.6049+5973G&gt;T</t>
  </si>
  <si>
    <t>USH2A:c.6325+8917C&gt;A</t>
  </si>
  <si>
    <t>AAACTGTTGCACCCAGATCAGCTACAGACAAGAGCAGAGCTTTCAATGGAAATTTTAAACAGGTGGAATCAATATCCTGAAACATTTTATCAAATAATTGTAATAGGAGTTGAAATATGGCTTTACCAGTACAATaCTGAAAACAAAGAACAATCAAAGCAATGGCTACTAAGAGGTGGAAGTGGTTCACTCAAAGCAAAAGTGGACCAGTCAAGAGCAAAGGTCATGGCAAAAGTTTTTTGGGGATGCTTGAGGCATTTTGCTTGTTGG</t>
  </si>
  <si>
    <t>ENST00000307340.7:c.6325+8917C&gt;A</t>
  </si>
  <si>
    <t>CEP164:c.-21-1041_-21-1040del</t>
  </si>
  <si>
    <t>ACATTGTGGATTAGGGCTTCAATATGTGTATTTTTCTTACTTTGAGAGGCTGAGGCGGGAGCATTGCTTGCACCCAGGAGTTCAAGACCAGCCAGGGCAACATAGTGAGACACCATCTCTGTAAAAAAAAAAAAAAAAAATATATACATATGTGAATTTTGAAGGGATGTAGCTCCTTTCCACTTTTCCCCCATATCCTGGTCCTATTAAGCTTAACATCACTGGGTCTGTTCTGACTGTCTCTTCTTCATTCCCCTGCTTCTGCCCTAG</t>
  </si>
  <si>
    <t>ENST00000278935.7:c.-21-1041_-21-1040del</t>
  </si>
  <si>
    <t>CEP164:c.-98+2760_-98+2762del</t>
  </si>
  <si>
    <t>GGGATTTCACCATGTTGGCCAGGCTGGTCTCGAACTCCTGGCCTCAAGTGATCCGCCCACGTCGGCCTCCCAAAATGCTGGGATTATAGGCATGGACCACTGTACCCAGCCAGGAAACTTTTTAAACAAGATAACGACAACAACAAATGTAGTAATAACAGGCTACGTTACTCCCATTAAAGGCAGGCTTTGGAAAGGAAAGATCATTATCTCTACTCTTTTTTTTTTTTTTTTTGAGAAGGCGTCTCGCTTTGTCGCCCAGGCTGGAGT</t>
  </si>
  <si>
    <t>ENST00000278935.7:c.-98+2760_-98+2762del</t>
  </si>
  <si>
    <t>VPS13B:c.7125+21104C&gt;T</t>
  </si>
  <si>
    <t>AAAATCAATGAATCCAGGAGCTGGTCTTTTGAAACGATCAACAAAATTGATAGACCACTAGCAAGACTAATAAAGAAGAAAAGAGAGAAGAATCAAATAGACTCAATGAAAAATGATGAAGGGGACATCACCACTGATCCCACAGAAATACAAACTACCATCAGAGAATACTATAAACACCTCTACGCAAATAAACTAGAAAATCTAGAAGAAATGGATAAATTCCTCGACACATACACCCTCCCAAGACTAAACCAGGAAGAAGTTGAA</t>
  </si>
  <si>
    <t>ENST00000358544.6:c.7125+21104C&gt;T</t>
  </si>
  <si>
    <t>USH2A:c.6326-3327C&gt;T</t>
  </si>
  <si>
    <t>TCTTCTCTTTCATACTCTACCTACAATGCACTGGGAAATCCTGTTAGCTTTGCCTTTAAAACATATTCAGAATTTAACCATTTCTTACTTGATTATTACTGGCCCCCACTTACTTGATATTACAAATAGCCTCTTTAGTGAGATGTATTCTTATGCTCTTGCTCACTACCATCTATACGTCTGGCAGCCAGGATGATACTCATGAAGTCCATGTTTGATTGCATGACAGCTCTGTTCAAAATCCTTAGTGTCTTCCTAAGTAGAACCTCT</t>
  </si>
  <si>
    <t>ENST00000307340.7:c.6326-3327C&gt;T</t>
  </si>
  <si>
    <t>CEP164:c.766-2799T&gt;C</t>
  </si>
  <si>
    <t>AATTAGCAAATACAATAGCTATTAAAGTATATGATGGGGAAGGCTCATTTCAGGTCAGCTGACCCAGGGATCAAGAAAGGCATCCTGGAAGAGGTGATGTGGTGAGGACCAGGGGGAGTGTGTCGGGGTAGTATGCGTGTATGTGTATTTTAGGAATTGCATGGCAAAGTACTGAGTTAGTGTGATGTTTATCCACAGGTGGGAGGAGAGGGTGTCTGAGGGTTTGCCTGGAGGTGAGCCATGAGAGGCAGGCAGGAGCTGGGCCTTAAG</t>
  </si>
  <si>
    <t>ENST00000278935.7:c.766-2799T&gt;C</t>
  </si>
  <si>
    <t>PEX13:c.92+4375T&gt;C</t>
  </si>
  <si>
    <t>GAAAATTCTAAAAATCAGAGCACCTCATCTCCTCCAAAGGATCGCAGCTCCTTGCCAGCAACGGAACAAAGCTGGACAGAGAATGACTTTGACGAGTTGACAGAAGTAGGCTTCAGAAGGTCGGCAATAACAAACCTCTCCGAGCTAAAGGAGCATGTTCTAACCCGTCGCAAAGAAGCTAAAAACCTTGAAAAAAGGTTAGATGAATGGCTTACTAGAATAAACAGTGTAGAGAAGACCTTAAATGACCTGATGGAGCTGAAAACCATG</t>
  </si>
  <si>
    <t>ENST00000295030.6:c.92+4375T&gt;C</t>
  </si>
  <si>
    <t>OGI2268_003775</t>
  </si>
  <si>
    <t>ABCA4:c.3862+1564A&gt;G</t>
  </si>
  <si>
    <t>ATAATCTCAGCTCACCCAATGTCAAAGACTCATATTAACCAAGACCAGAATGAAAATATGCTAATTTATATCAGAAGCTTTGCTGGATTCAAGAGTTAGGGCCTTTTACCTGTGCAGAATATTCCTTCTTGATAAGTAGGCCCTCTCAGGAGAATAAATTACACATCAGAGGACTGTTTAGTCAGCATAGGCATAGAACAGGATGTTCCAAAGATACAGTCAAGGGGAGTGGGTAAGAGTGTAGCCTCTGGAGTGAGGCCGACCAAATAT</t>
  </si>
  <si>
    <t>ENST00000370225.3:c.3862+1564A&gt;G</t>
  </si>
  <si>
    <t>ABCA4:c.1554+3220T&gt;C</t>
  </si>
  <si>
    <t>ATTACAAAAATTTTCTCTCATTCTGCAGGTTGCCTGTTCACGCTAATGATAGTTTCTTTTGCTGTGCAGAAGCTCTTTAGCCTAATTAGATCCATTTTTCAATTTTGGCTTTTGTTGCAATTGCTTTTGGTGTTTCAGTCATGAAGTCTTTGCCCATGCGTATGTCCTGAGTGGTATTGCCTAGGCTTTCTTCTAGTTTTCATGATTTTAGATTTTACATTTAAGTCTTTAATCCAGCTTGAGTTAATTTTTGTATAAGGTGTAAGGAAG</t>
  </si>
  <si>
    <t>ENST00000370225.3:c.1554+3220T&gt;C</t>
  </si>
  <si>
    <t>ABCA4:c.2160+411del</t>
  </si>
  <si>
    <t>GCTGCTATTAGCAGAGCCCTGCACAGGGTGATAGTGTAATTAAAGTGGTCTTCTCTTTCCAAACACAGAAAAAATCAGTTCAGGGAGTGTTTTCCTGGGCTTACAATTTTAACTACTGGCTAGAGTTGAAATGGGAAAGCCTTTTGCCTTTTCAGTAGCAGTAGGGGAGGAGATCTGGATTATTTACTTATCATCATCATGGTCACCTCCTACATGGCTTCACCAAAAAACATTCTGCTGCCTGAAAAAGCTCCAACACCTCTCTCTCTT</t>
  </si>
  <si>
    <t>ENST00000370225.3:c.2160+411del</t>
  </si>
  <si>
    <t>USH2A:c.6326-4213C&gt;G</t>
  </si>
  <si>
    <t>AAACTGTTGCACCCAGATCAGCTACAGACAAGAGCAGAGCTTTCAATGGAAATTTTAAACAGGTGGAATCAATATCCTGAAACATTTTATCAAATAATTGTAATAGGAGTTGAAATATGGCTTTACCAGTACAATgCTGAAAACAAAGAACAATCAAAGCAATGGCTACTAAGAGGTGGAAGTGGTTCACTCAAAGCAAAAGTGGACCAGTCAAGAGCAAAGGTCATGGCAAAAGTTTTTTGGGGATGCTTGAGGCATTTTGCTTGTTGG</t>
  </si>
  <si>
    <t>ENST00000307340.7:c.6326-4213C&gt;G</t>
  </si>
  <si>
    <t>ABCA4:c.2653+649C&gt;G</t>
  </si>
  <si>
    <t>CTTTCTTAGGGGTGGGGAAAAAGGCTGAAAGGGCATTTGCCCACAACACATCTTAGGTAAAAGGCACCTTTACTACTGAACCAAACAGGAGGCCTAGCTAGAGAAAGTTCTAGAAGCAGGGAAAAGCACAGACTGTTTTGTGAGGTCTGAGAAAGCAAAGAAATTCCAGGGTGAAAGCGGGGGACTCCCCTAGAGCTGAAGTACTCTCCCATCTGTTTGTTGCTCACCTACCTATTCTTTACTTTGTATTATTGGGCCTGGGCCAGGACT</t>
  </si>
  <si>
    <t>ENST00000370225.3:c.2653+649C&gt;G</t>
  </si>
  <si>
    <t>ABCA4:c.2653+658G&gt;A</t>
  </si>
  <si>
    <t>GGGGTGGGGAAAAAGGCTGAAAGGGCATTTGCCCACAACACATCTTAGGTAAAAGGCACCTTTACTACTGAACCAAACAGGAGGCCTAGCTAGAGAAAGTTCTAGAAGCAGGGAAAAGCACAGACTCTTTTGTGAAGTCTGAGAAAGCAAAGAAATTCCAGGGTGAAAGCGGGGGACTCCCCTAGAGCTGAAGTACTCTCCCATCTGTTTGTTGCTCACCTACCTATTCTTTACTTTGTATTATTGGGCCTGGGCCAGGACTTATCCTGC</t>
  </si>
  <si>
    <t>ENST00000370225.3:c.2653+658G&gt;A</t>
  </si>
  <si>
    <t>ABCA4:c.2654-331G&gt;A</t>
  </si>
  <si>
    <t>TCGAACTCCTGACCTCATGATACGCCTACATTGGCCTCCCAAAGTGCTGGGATTACAGGCGTGAGCCACCACATCCGGCCCCTGAATAGACTTTTACTCAAGGTTCACCATGACTTTCACATGTTTTGTATTGGAATAAAATGTGCCAGTGGTGGGCTAAAGAAAATTAACTCATTTCAAATTCAAACCTGGTTTTCTTAATTTTTTTAAAATCACAGTTTCTGAAACTGTGGGCTCCTCATGGCACATTGAGAGGAGGAGGTGAAACTC</t>
  </si>
  <si>
    <t>ENST00000370225.3:c.2654-331G&gt;A</t>
  </si>
  <si>
    <t>ABCA4:c.2654-333G&gt;A</t>
  </si>
  <si>
    <t>TCTCGAACTCCTGACCTCATGATACGCCTACATTGGCCTCCCAAAGTGCTGGGATTACAGGCGTGAGCCACCACATCCGGCCCCTGAATAGACTTTTACTCAAGGTTCACCATGACTTTCACATGTTTTGTATTGAAGTAAAATGTGCCAGTGGTGGGCTAAAGAAAATTAACTCATTTCAAATTCAAACCTGGTTTTCTTAATTTTTTTAAAATCACAGTTTCTGAAACTGTGGGCTCCTCATGGCACATTGAGAGGAGGAGGTGAAAC</t>
  </si>
  <si>
    <t>ENST00000370225.3:c.2654-333G&gt;A</t>
  </si>
  <si>
    <t>ABCA4:c.2918+353A&gt;C</t>
  </si>
  <si>
    <t>GGGGAAGTGGACATTCATTCAGAGAGTTGAAGTGACTTTCCTGAAGCCACCAAGTTGTCATGGCTCAGCGGGGGCAAAAGCCAGGCACCACAGTTGCCTCTTGTTTCTCACACCTTGAGTCTTTCCCCCCATCTCCACAGTCCATGGTGGTGATCAAGTCATGGCCACTGTCATCATGTGCATGGAAGCTATAGAGTCCTCCTATTTCCTTTCTCTTTTCTTTTCTTTTTTTTTTTTTTTTTTTTTGAGATAGTAACCATTACCCATGCT</t>
  </si>
  <si>
    <t>ENST00000370225.3:c.2918+353A&gt;C</t>
  </si>
  <si>
    <t>ABCA4:c.5461-1074T&gt;G</t>
  </si>
  <si>
    <t>AATAATGAAGTGCCTACTCTGAGCTAATCATTGTGCAGGTATTTAGGAAGGACAAAAAAATAATTAGGACTCAGTGCCCACCCTCCAGGGGCCCACTGACTAGTAGAGAAAGTAGGCAGATTTTTAAAAAATTAAGCATGGGAATGTGATAAGTGCTGGGAGAGAGGAATGGATACTTTCTCATGGGAATCTTGGAAGGCTTGTAAGGGAAGGCACTCTCTGAGCCAGCTGTCTAAAGAAGAACAGGAATCTTTAAGAAAGCAGAAGGGA</t>
  </si>
  <si>
    <t>ENST00000370225.3:c.5461-1074T&gt;G</t>
  </si>
  <si>
    <t>USH2A:c.651+18339G&gt;T</t>
  </si>
  <si>
    <t>AACCCATATAGCAAGTTTGAGTTTGTTTCAATGGTTGTATGTTTCAGTTATTTAGTTTCCGTTTGGATCTTTTATATATATATATATATATATAACTTCTATTTCTATGCTGGGGTTTCTCTCATTTTTTTTCTTTCTTGAAAGAATTCACAATTGCTTGTTGATGCATTTTTATTGTATCTGGTTTAAAATCCTTGCCTGATAATTCCAACATATGATTCATATCACTGATGGCATCTGTTGATCTTCTTCTTTCATTCAAGTTGTTAT</t>
  </si>
  <si>
    <t>ENST00000307340.7:c.651+18339G&gt;T</t>
  </si>
  <si>
    <t>ABCA4:c.6480-818A&gt;C</t>
  </si>
  <si>
    <t>AAAAAATAAAATAGGCTGGGCGTGGTGGCTCATGCCTGTAATCCCAGCACTTTGGGAGGCCAAGGCGGGCGGATCACTTGAGGTCAGGAGTTTAAGACCAGCCTGGCCAACATAGTGAAACCCTGTCTCTACTAACAATACAAAAAAAAAAAAAAAAATTAGCCGAGTGTGGTGGCAGGTGCCTGTAGTTCCAGCCTCTCAGGAGACTGAGGCAGGAGAATTGCTTGAACCCAGGAGGCGGAGGTTGCAGTGAGCCAAGATCATGCCACT</t>
  </si>
  <si>
    <t>ENST00000370225.3:c.6480-818A&gt;C</t>
  </si>
  <si>
    <t>EYS:c.-333+2888G&gt;A</t>
  </si>
  <si>
    <t>ACAACATAGGGGGATGCCATCGCTACAAAATTTTTTAAAAAAACAACATATCCAACTGTGGTGGTGTAAACTGGTAGTCCCAGCTATTCAGGAGGCTGAGGTGGGAGGATTGCTTGAGGCTGGGAGGTTGAGGCTACATTGATGAGCTGTGATGACACCACTGCACTGCAGCCTGGGTGACAGAATTGAGATCCTGCCTCAAAAAATAAATAACTAAATAAATAAAAGTAAAGTATATAGTGTCATAGAAGACATGAGTTAAGGAGAAAA</t>
  </si>
  <si>
    <t>ENST00000370621.7:c.-333+2888G&gt;A</t>
  </si>
  <si>
    <t>EYS:c.-333+41532G&gt;A</t>
  </si>
  <si>
    <t>AGTTATTCTCTCTGTGTGTGCCCTTAGAAAATCCAAAACTCATTGAAAATAGTATATCAGTTTTCCTGATAAAAGAGAAAAAAAAGAAGGAAGTACTAAATACCAGGAGAGAAAAGTTTTTGTTTTTTTTTTTGGAGGGGGGGTGGGTGGGGAGGAGGGTCTTCTCAATAACAGAAATCTATTACTACCACCCTGTGGTAGAAAATTTTGCATTTAGCAGTGAGGACTTAAAAATAGAGTTTGTTTGTTTGTTTGTTTGTTTTGTTTTGT</t>
  </si>
  <si>
    <t>ENST00000370621.7:c.-333+41532G&gt;A</t>
  </si>
  <si>
    <t>EYS:c.1057-1215T&gt;G</t>
  </si>
  <si>
    <t>TATTTAAATAAAAAGTTGTTATATAAATAGAAAACTAATACAATAATCTATCAAGAACTATTAATAGTATCGTTTAAAATGTTTTGCTTTTAAAGTTGACAATAATGAACAATTGAACACATGTTATAACTTTACGAGTTAAAAGAATCTTAATATAAGAAGCGACTTTTAGTGGATGTATGCTTAACTATTAATTCATAGAAGTACTTTAATTCTATTTTTCTTCTCTATTATTCATTATTTATATTCTCTATTTAATATTCTCATTAT</t>
  </si>
  <si>
    <t>ENST00000370621.7:c.1057-1215T&gt;G</t>
  </si>
  <si>
    <t>USH2A:c.652-4655C&gt;T</t>
  </si>
  <si>
    <t>TCTTGGCTCACTGCAACCTCTGCCTCCCGGGTTCAAAAGATTCTCCCGCCTCAGCCTCCCGAGTAGCTGGGACTACAGGTGTGTGCCACCACACCCAGCTAATTTTTGTATATATATATATTTTTTAAGTACAGAtGGGGTTTCACTATGTTGGCCAGGCTGGTCTCAAACTCCTGACCTCATGATCTGCCTGCCTCAGCCTCCCAAAGTTCTAGGATTAGAGGTGTGAGCCTCCATGCCCGGCCCATACTAGCTTTTTAATATATGTTA</t>
  </si>
  <si>
    <t>ENST00000307340.7:c.652-4655C&gt;T</t>
  </si>
  <si>
    <t>EYS:c.2137+10772T&gt;C</t>
  </si>
  <si>
    <t>CAAGAGGATAGAGAGAGTGGGGCAGGGGCGAAGGTGCCATACACTTTTAAATGACCAGATCTCCCATGAACTCAAAATGAGAGCTCACTTATCACAAAGGGGTGACGAAAGCCATTTATGGGGCATCTGCCCCCACAATACAAACACCTTCCACCAGGTTCCTCCCCAACTTTGAGAATTCAACAAGAGTTTTGGGTGGGAACACATAGCCAAACCATATCAGAGAGTATAAAACTTTTCACATTTAAATGAATATACATTTTCCTGTAT</t>
  </si>
  <si>
    <t>ENST00000370621.7:c.2137+10772T&gt;C</t>
  </si>
  <si>
    <t>EYS:c.2381+679C&gt;A</t>
  </si>
  <si>
    <t>CCACCTTTTAATGGAGTTGTTTTTTGCTTGTTGAATAAGTTCCTTATAGATTCAGCATATCACACCTTTATTGGATGCATAGATCGTGACTATTTTTCCCATTCTTTTTTTTTTTTTTTTTTTTTAATAGAGAAAAAACAGTGGGCCCAGGGGACCGGCACTCAGCATACCAAGGACCTGCACCGGCCTCTGAGTTCCCTCAGCTTTTATTGATTATTATCTTCATTATTTCAGCAAAAAGGAATGTAGTAGGAGGGCAGGGTGATAATA</t>
  </si>
  <si>
    <t>ENST00000370621.7:c.2381+679C&gt;A</t>
  </si>
  <si>
    <t>EYS:c.3443+44889del</t>
  </si>
  <si>
    <t>AGCTACCCTGAAGTGATAATAAAACTTTCTGATATGACCAGGGACACATTTAAGGGAAATGGTTCATCCTTTCATAGGGTGACCCCTATATAAAGAATTCCTTGCCAATAATTTTCTTTAAAGACCAAAAAAGTATAGACTTTTCAGAAGGACTAAAGCATACCATCAGATTCTGATTCAACCATTTTAAATTTCTCATAAAATAGAATTCAATTTCATCACCCCTGTCCATCTTGTGTGAGTATTCCTCTTGCTAAATATATACATGAA</t>
  </si>
  <si>
    <t>ENST00000370621.7:c.3443+44889del</t>
  </si>
  <si>
    <t>EYS:c.3684+3715C&gt;G</t>
  </si>
  <si>
    <t>CTCCATGCTGGAAGCATGAGGGGATTTTTCTCCAAACCTCACTGTGAGAACCCTGTAGCATTTTTGAACATAAAGTTCATTACAGTGTGGGATATTCCCTAAGAGTGGGCTCCCCTGTAGTTTCTAACTAACTCTGAAGCTCGTACACACTGAGCCTCCAGCATTTCATCAATTACAGTTTGTTTTTCTACCCTGGTTTTGGCTCCAGCAGAGGTTTCTGCTTCTGAATTTCTGCTCTGGTAAGCTATAATTCTTTGTACCTGCCTGACT</t>
  </si>
  <si>
    <t>ENST00000370621.7:c.3684+3715C&gt;G</t>
  </si>
  <si>
    <t>EYS:c.5928-9045T&gt;A</t>
  </si>
  <si>
    <t>AGAAAAATACCTGTGTATTTGTGAATTTGACAATGCAATTCTAAATACCACTGAGGCCAAAGAAAACAATCACAAAGGAAATTAGAAAATATTTTGAACAGATAATAATGAAAAATAGAACTTGTTGAATATGGTAAAATTTATGTTTAGAAAAAATTTTCTATCCTGAAAGCGCATGTTAGATTAAAAACCTTAGAAACAAAAGAGTAAATAAAGCACAGAGAAAGTTAAAGGAAGGAAATCATAAAGAGCAGAAGTCAATGAAGTAGA</t>
  </si>
  <si>
    <t>ENST00000370621.7:c.5928-9045T&gt;A</t>
  </si>
  <si>
    <t>EYS:c.6078+15092C&gt;G</t>
  </si>
  <si>
    <t>TGGAGGAACCCAGATGCTCTACCCACCCCTCCTGCTGATAGCCAGGTGAGCCATACCTGCTAGAGCTTCTGGCTCAGCCGTCCTACTTCTTCCTGAATTTGCCAAGGGGCACAGCTTCCTGTTGCCTTGGAAACAGCCGGATGGCAGGGCAGGCAACTCCACCCACACCAACCTCTCCTTGCTAGACAGGCTACACCCACTAGAGCTTCCAACCCAGTGGTCCCAATTCCACCTAAACTCTGCATGCAGGCACAATCCTCTGTTTCACAT</t>
  </si>
  <si>
    <t>ENST00000370621.7:c.6078+15092C&gt;G</t>
  </si>
  <si>
    <t>EYS:c.6078+5560T&gt;C</t>
  </si>
  <si>
    <t>GCACTGGTGCAATCTTGGCTCACTGCAGCCTCGACCTCCTGAGCTCAAACAATCTTCCCACCTCAGCCCCCCTAGTAGCTGGGACTACAGGCATGTACCACCATACCCTGCTATTTAAATTTAATTTAATTTTTACTTTTTGTAGATATGGGGTTTCTCTATGTTTCCCAGGCTTGTCTCAAACTCCTGAGCTCAAGTGATCCATCCACCTTAGCCTCCCAAATAGCTAGGATTACAAGCATGAGCCACCGTGCCCAGGCAGGCCTTGCC</t>
  </si>
  <si>
    <t>ENST00000370621.7:c.6078+5560T&gt;C</t>
  </si>
  <si>
    <t>EYS:c.6191+30756A&gt;T</t>
  </si>
  <si>
    <t>CCCATTTATTTTGGAAGATAGCAAAGAGGAAGGATGACTTTTGAAGAATACAGTTGACTTATACCTAATTATAGAAGGTATCTTTCAAGGGTACAAAATTATATTGGTTGAGTGCTTAGTTATTTCTAGAAACTTTGCACTTAGCCAATAACAGATCTTCAGCCTAGTAATCAAACTGTCAATCTCGAAGTCAACACAAAACAAGTTCAAGGGGTATCTAAAGACCAAACCTTAAAATATTCAGAAGGAAAGAAAATACCTATATCCTGA</t>
  </si>
  <si>
    <t>ENST00000370621.7:c.6191+30756A&gt;T</t>
  </si>
  <si>
    <t>EYS:c.6424+8254G&gt;A</t>
  </si>
  <si>
    <t>AGTAAAAACAAGGGCTAATGTGAACCTGACCTAAAATGTTATTACACAATGGCAAAACAACAAGGAAAAACTATAATGAGCAGAGATAATTAAGAACAAAACGTGTGGTCTCTGGGAAATTCATTTTCAGACATTATTGTCAACATGCGATGTGCCTTTGATAGGAAAAACTTAATTTAAGAATTTATATGTAAAAGACAACATCATGCCCTTACTTGTAAATACAATCTTATTAATGAAATTGAAAACTATCTGAGTAGAAGAATTTAT</t>
  </si>
  <si>
    <t>ENST00000370621.7:c.6424+8254G&gt;A</t>
  </si>
  <si>
    <t>EYS:c.7228+1999G&gt;A</t>
  </si>
  <si>
    <t>AAAACTTGTCAAGAAAGATAAGACTTCTGACCTTACAGAGCTTACCTTCTAATTGAAAAGATAAAAAGAAAATAAAAATGGCTCAAAACACAATACAAAATTTCTGAGAAGAATTATGAAGGAAATAAACAAGTAATGATAGACAGTAACTGGGATGGAGGGCATTTTAACAGGTCACCAAGACAAGAATCACTCTCAGAGGAGGAGATATTTGTACTGAGGCCTAAAGAATAAGGAGTATGGCCCATGAAAAGCAGGAAAAGGAACTAT</t>
  </si>
  <si>
    <t>ENST00000370621.7:c.7228+1999G&gt;A</t>
  </si>
  <si>
    <t>EYS:c.7228+8426C&gt;T</t>
  </si>
  <si>
    <t>TAATATTTTGTCCCTTCATCCCTTTGACCTTGAAAGTGGCCTATTTTCCTTAGGATAAAGTAAGAACTGTTTAAAATGATGTGCAAGTTTTGCATGGGCAGACCTCAGCTAACCCAATAGCCCCCATCTTCTTCATCCTTTATCAGAACACTCTTTAAACTATTTTGCATTTACCTTGTAAACACTGGCCATAAATCATACCAGTCCTTTCCTCATACTCTAAGTTTCATGAAGGTAGACACCCTATCTGCCTCGGCCATCATCATATCT</t>
  </si>
  <si>
    <t>ENST00000370621.7:c.7228+8426C&gt;T</t>
  </si>
  <si>
    <t>EYS:c.8071+6131T&gt;C</t>
  </si>
  <si>
    <t>TGGAATGCAAGGCTGGTTCAACATATGCAAATCAATAAACGTAAACCATCACATAAACAGAACCAATGACCAAAACCACATGAATATCTCAAAAGATGCAGAAAAGGCCTTTGACAAAATTCAAGTCTTTCATGCCAAAAACTCTTAATAAACTAGGTATTGATGGAACATATCTCAAAATAATAAGAGCTATTTATGACAAACCCACAGACAATATCATACTGAATGGGCAAAAACTGGAAGCATTCCCTTTGAAAACCGGCACAAGAC</t>
  </si>
  <si>
    <t>ENST00000370621.7:c.8071+6131T&gt;C</t>
  </si>
  <si>
    <t>EYS:c.863-35328dup</t>
  </si>
  <si>
    <t>CACAAAGGAATTAAGTCAGGTTACTAAAACTGTATTCCTGGTGAAGCAGACATTAATATAAATTAATGTTATTAGCCATATCAAAAAAATTTCTCAACGATACTATATGCTACATCCCAAACACCTTCCAGTGTTAGAAGTATATGGTGTGAGTACAAAAAAAATTAGCTTTACATGGTCAGCTTTATGAGGATGTTTATGGAGGAAATGTGGGGAAGACTCATTAAAGACAAGCAAAAATTACTTGTGAGCAGTAAAGTAAAAGATATC</t>
  </si>
  <si>
    <t>ENST00000370621.7:c.863-35328dup</t>
  </si>
  <si>
    <t>USH2A:c.7300+9726A&gt;G</t>
  </si>
  <si>
    <t>TGACAATGAACTTCCTGCTTATAAAAACACCTTAGAAAAAGACTAACTTCTGAGCTATGGAGAAGAGGGAAGGAAACTTTGAAGTGTGCTTACTATGGACTCAACAAGCCTCCAGCAAAGGGCTGCCAGCTCTCCgTATTTGCATACTCTCATGTGGATTATATAGAAATACACACGCCCACACACACAATTAAGTGCTATCTTTAAAGCATCCTGGGGCAAGAGAGAGAGACTTAAAAAAATAAAATAAAATCACATCTTTTTCTTTTT</t>
  </si>
  <si>
    <t>ENST00000307340.7:c.7300+9726A&gt;G</t>
  </si>
  <si>
    <t>USH2A:c.12066+6211A&gt;T</t>
  </si>
  <si>
    <t>TAGCTGGGACTATAGGTGCATGCCACCATGCCCAGCTAATTTTTTAAATTTTTTGTAGAGATTGTGTCTCACTAAATTGCCCCAGCTGGTCTCAAATTCCCGGCCTCAAGAGATCCTCCCGCTGCGGCGTCCCAATGTGTTGGAATTACAGGCTTGAGCCACTGACCATGGCAAAACTTTTTAGTTGTGATGATATTTTAGCTTTAATATCAACTTTTCATTTACTTGCCTTACATAATCTTTAACCCTTTTGTCTAATTTGGGCTAGAC</t>
  </si>
  <si>
    <t>ENST00000307340.7:c.12066+6211A&gt;T</t>
  </si>
  <si>
    <t>USH2A:c.7301-13463A&gt;G</t>
  </si>
  <si>
    <t>TTACTTTTAAGTACAAAATTGCATATTCCTTATTTGGTGGGATTACTGTACATAGTTATTTTTAGAAATCAGAAAAGTTAATTGATTTACTGTGATTCTCTCGTTTTACAAAAATGCAAATTGTTTTATTATATAgGAAGAGTCCATTTTAGACCAAATTCATTCCCATAAAATGAAAACTTCTTGGAAAAACAACAAAAAAGAACTTTTTAAGAAAATGTATTGATTGGTAACTCATGACATTTCTTTTCTGTTTTGCTTTTTGGCTCC</t>
  </si>
  <si>
    <t>ENST00000307340.7:c.7301-13463A&gt;G</t>
  </si>
  <si>
    <t>USH2A:c.9259-2765A&gt;G</t>
  </si>
  <si>
    <t>ATTCCCATAGCCTACCTGAGTTGTCTTAGCATGGAATATGTGGACTGATGTTTATGTTCATGATTCTTATGGTGAGTCCATGTATGCAGGTAGACCATAGGCCAAATTATGAAATAGAAATCATGCTCCAAATAAgTTAGAAATATAGCTATATAAAAAAGGCTAACACAGGAAGGTGATGGAGGATTTGCCGTATTGTCTTCTTTTGACCAGTGTTCGGGAAAGCTGAGTTTTCAAAGGCACCTTATTCATTTGCTTTACCAAGACTCG</t>
  </si>
  <si>
    <t>ENST00000307340.7:c.9259-2765A&gt;G</t>
  </si>
  <si>
    <t>USH2A:c.6805+1218A&gt;G</t>
  </si>
  <si>
    <t>TTTGATACCATATTAAGCAATCAACAATCTTGTTATGCTTCTTACTTCACAAAGTACCCTAGTTCATAGATGACAATGAAAATGTTAATGATTTATTTCAATTGGATTGCTGTGAAATGCTGTTACATGATTTGCGTAGTAGAGCACTTCCCTTCATCCCAATTGGTTAATACAACTAGAACTACAATTGCTCTCAGAATCTTCAGCTGTTCAGGGAAACATTTTCCACATTACAAAGCTCTTTGAATGTTTTGTGTATTTGCGTATGTT</t>
  </si>
  <si>
    <t>ENST00000307340.7:c.6805+1218A&gt;G</t>
  </si>
  <si>
    <t>USH2A:c.6805+2997A&gt;C</t>
  </si>
  <si>
    <t>AGGCTCACATGGCAATATATGCTACCTAATGGTTGCTTTCTAATTTCTGAATATGCTGCTGAAGAGAAATACAATTGGAGAATAAGATAGACTTCATTCTTGTGTAACTAAATAAACCCTTTCAAAAGATTTTAACTGGTATTTCTCAAACTTATCTGATTCTTAGAACAATCTTGGGAGCACCAATTGAATAAGTAGATTCTAGGCTCCACCACAGACCTCCTAAATAATCAGAATCTTCCACTGCCTCGGTTATCATCAAAATACCCC</t>
  </si>
  <si>
    <t>ENST00000307340.7:c.6805+2997A&gt;C</t>
  </si>
  <si>
    <t>USH2A:c.7300+12132G&gt;A</t>
  </si>
  <si>
    <t>GTCACTGGGTGCCTTCACAAGTTTGAAGACCACTGAGCTAGACCATCTTTAAAATACTTTCAAAGAAAAAATATATGATCTTGTCTATGACTTTATTCCATATTCATATTTGAGACAAATACTCAGGGAAAAATAAGTATAATAGGCCTCCATGCTCAACTGGTCTTTGAATATATAAGTCACATTCGTAGGGCCAGAGGTCTTTCCAATGTAAGAAAGCCATCGTGTTGCTCACAGTCTTCCTGAATGGGCCAGGAACAGATACCAAAG</t>
  </si>
  <si>
    <t>ENST00000307340.7:c.7300+12132G&gt;A</t>
  </si>
  <si>
    <t>USH2A:c.7594+1298G&gt;A</t>
  </si>
  <si>
    <t>ATTTAGTAAATTATCAGCACAGTACGATAAATGGCACCCAAAGTCCAGAAAGCATTAATTCACCACCTTTTAGGAGGAACATTACATACACTCTGGGGAATCTGGACACCATGATCACCAGATTTATGGACTGAAAACTTCACACTCAAAATAGATTTTTGAAGAAACATTTGAAACAACTGAAGATAGATTTGTAATCTCCTTCTTATATATAGCAGCATGCTTGATGGCACTAAATAAAGATTAGCCAAAAATAATTATTCAACCCAC</t>
  </si>
  <si>
    <t>ENST00000307340.7:c.7594+1298G&gt;A</t>
  </si>
  <si>
    <t>USH2A:c.7594+3035T&gt;C</t>
  </si>
  <si>
    <t>GAGAAATCTAGGCAGGCAATGAGCTACAGCCAGAGAAGCAAATGCATGGGTGCAGAGAAGTTATCATGGACAGGGAAACAGGATGTGAAGAATTTTAATAGATTTTTTTTTCAAATAATTTGTCATTTACACCAGCGTGCCACCAATATCCAGTTCCATGCATTTTTAAAAATCTAGTGTGCTGATGCCAAATAATCATAATGCACATTTCCTATGAATATTTTAAATCCTGTTAAATGTGTGTTAATAAAAGATGTTTGTTCCAGCCAA</t>
  </si>
  <si>
    <t>ENST00000307340.7:c.7594+3035T&gt;C</t>
  </si>
  <si>
    <t>USH2A:c.784+6696A&gt;G</t>
  </si>
  <si>
    <t>CTGAGCTGAATTAAAGGTGCTCTCATGCAGTGCCAGGCCGGCTGTCTCTGCTTTGGAACAGACACTGCCTCAAACACAAGCACATCAAATGAAGGCCTATAGCAGATCAAGATGGATCTTTTCTGTCTTTCTCTGGTTAGGTTTGACTTGGTTCTCTGTTTCTGCACCCAGAAAGTAACAACCTTCCATATGAGTGTTGGCTACTACAGAGCTTTTTCTTTGAGTCTTATCTCTAGCATAACTCTCTAGAAAAATGTGTTGCCAGTGACA</t>
  </si>
  <si>
    <t>ENST00000307340.7:c.784+6696A&gt;G</t>
  </si>
  <si>
    <t>OGI2692_004271</t>
  </si>
  <si>
    <t>ARSG:c.1304-2433_1304-2424dup</t>
  </si>
  <si>
    <t>CAGAGGTTTCTGCTTGTGGGTTTCTGCTCTGTTAAGTTGTGATTGTTTCTATTTGCTTGTCTGTCTCTCTAATTTTGGGGGCAGTAGTTTGCCCTGTGACTTCACTTCTCCAAAAGACCTAATAAGAGTTGCTGAATTTTTTTTTTTTTTTTTTTTTTTTTTTTTTTTTTTTTTTTTTGAGATGGAGTCTCACATTGTTGCCTGGGCTGGAGTGCAGTGGCACGATCTCGGCTCCCAGGTTCACGTGGTTCTCCTGCCTCAGCCTCCCAG</t>
  </si>
  <si>
    <t>ENST00000448504.6:c.1304-2433_1304-2424dup</t>
  </si>
  <si>
    <t>SLC16A6:c.232+670G&gt;A</t>
  </si>
  <si>
    <t>GGAGGCTGAGGCACGAGAATTGCTTGAACCCAGGAGGCGGAGGTTGCAGTGAGCTGAGATCACACCACTGCACTCCAGCCTGGGCAACAGAGCGAGACACCATCTCAAAAAAGAAAAAAGTTGCGGCCGGGCGCAGTGGCTCACGCCTGTAATCCCAGCACTTTGGAAAGCCGAGGCAGGTGGATCACGAGGTCAGGAATTCGAGACCAGCCTGACCAACATAGTGAAACCCCCTCTCTACTAAAAATACAAAAAATTAACTGGGCATGG</t>
  </si>
  <si>
    <t>ENST00000327268.8:c.232+670G&gt;A</t>
  </si>
  <si>
    <t>USH2A:c.11548+290del</t>
  </si>
  <si>
    <t>GGCATCGAGTAAAGCATTATGCATTTCTGCACATTAAATCATAAATATTTAAATATATTAAAATGGTGGTTTTGCAAAGTCTTGTTTTATAAGGCCCTTTGAAAGAAAAACACCTAGCTCACATAAAGGAGTCTTGGTAATATAAAACAAAAATGAGTATTCCAAATATTTCATAGAAAACATATTTACCTTGGCCTTATTTAAATTTTATCCAGGAGGAGGAAGTGAGAAGTTATTTAAGAGTTGAATTACACCCAAATGAATCCTATA</t>
  </si>
  <si>
    <t>ENST00000307340.7:c.11548+290del</t>
  </si>
  <si>
    <t>USH2A:c.1971+6688A&gt;T</t>
  </si>
  <si>
    <t>CTAAAGTTTGTATGAAATTCATGGGACTCAAAAATGTCCAAGATAACCTTATAAAAAAAGAGTTGGAAAACTCACCCTTCCCAATTTCAAAATTTACTATAATCAAGACAGCATGGTACTGGGATAAAGATAGACTTAGAGACATATTCACTGAAATAGAATTGAGAATTTACAAATAAGCCCTCATATTTATAGTCAATTGATTTTTGACAACAGTGCCAAGACAGTTCAGTGGAGAAAGTGTAGTCGTTTTAACAAATGGTCCTGGGA</t>
  </si>
  <si>
    <t>ENST00000307340.7:c.1971+6688A&gt;T</t>
  </si>
  <si>
    <t>USH2A:c.652-5025C&gt;T</t>
  </si>
  <si>
    <t>GTAATTACAGGAATGCACCACCACAACTGGCTAATTTTTTTGTATTTTTAGTAGAGACGGAGTTTCGCCATGTTGGCCAGGCTGGTCTAGAACTTTTCACCTCAAGTGATCCGCCCACCTCGGCCTCCCAAAGTGTTGGGATTACAGGCACGCGCCATTGTGCCTGGCCAAATTTTTGTTTTCAATCCTCTGTGCTTATTTTTAATTATCTTTAAAATGGAGAAAAAGGTAAACCTGCCTTAGGTAACTGTAAAGTTAAAAAGAATGAAT</t>
  </si>
  <si>
    <t>ENST00000307340.7:c.652-5025C&gt;T</t>
  </si>
  <si>
    <t>USH2A:c.6958-744T&gt;C</t>
  </si>
  <si>
    <t>GATGAGTTTGTAGTGATTAGTTAACTGAATTTAAGCTAATGATTAAAAGATATTAAAAATTTCTGAACTCTTTTCTACTTTCTTGCCAACTACATCTTCCTCTGACCACTTATTTTACTTATTTATCTATTGAAACCTTCCTGACCCCGGTACAGCTAGGGATTGCATTTTATTTCAGAGTCTTTCTCTTCAAATAATTCATCTTTTGCTCTTTTCTGCATAGCTTCATTAACACAATCAATATTTTTTTGTGATTGTGCCTTAGGGATA</t>
  </si>
  <si>
    <t>ENST00000307340.7:c.6958-744T&gt;C</t>
  </si>
  <si>
    <t>USH2A:c.7300+11452A&gt;C</t>
  </si>
  <si>
    <t>AAACCCAGCTCTTTCCCTTGAGTGTTTTTTTGTTTGTTTGTTTGTTTGTTGATTACAGGAACCCACTACCCATCTCATTGCTTAAGCCTCTATGTGTTGTGTTTTCTGCCACTTGAAAACAAAAGCATTTGCCACCATGCTTGAGAGAAAGGAAAACAAGTAGAGAGCATTTAGAGAAGTCTCATCACTTCCTGAAAATCATGCCAAATGCTAAACTTAACATATGTGTTTGGCTTTTGCTTGGGCTCTCAAATTAGGAAACCTCAAGAA</t>
  </si>
  <si>
    <t>ENST00000307340.7:c.7300+11452A&gt;C</t>
  </si>
  <si>
    <t>USH2A:c.9740-1218C&gt;T</t>
  </si>
  <si>
    <t>AATTGGATTATAGAAATCTTACCTGGACCATGGTTGAAGGCCATAAGACCCATCAGATTGGTCATCATACTCACATACCTTATAAGATATAATGAAGAGATGTTGTCCAGGGGAAAAGATATGTTCAAGAAAGAATGGTAGAGAAAAGGGAAGAAGGTCTGTTGAAGGTGTAGGAAGAAGAGGAGGAGCAGGACAAAAGAGAGAAGGAAGTCAGGGTTCCGAAGGCCACGAGGGAAGACAACCACAGTGGGGTCATGAGATAGAGAAGAG</t>
  </si>
  <si>
    <t>ENST00000307340.7:c.9740-1218C&gt;T</t>
  </si>
  <si>
    <t>USH2A:c.9372-5111del</t>
  </si>
  <si>
    <t>ATATACACCAACAGCAAGCAATCTGAAAAGAAATCAAGAAAGTGGTCCCATTAACAATAGCTACAAAGAATATAAAATACCTAGGAATCAATTTAACTAAAGGAGTAAAATATCTATACAAGTAAAACTATAAAAGCTGATGAAAGAAATTGAGTAAGATACAAATAAATGGAAAGATATTCCATGCTCTTGGATTAGAAGAATTAATATTATTAAAATGACAATTTTACCCAAAGTAATTTACAGATTCAATGTAATACATATCAAAAG</t>
  </si>
  <si>
    <t>ENST00000307340.7:c.9372-5111del</t>
  </si>
  <si>
    <t>USH2A:c.9740-4807T&gt;G</t>
  </si>
  <si>
    <t>TTTCCCAGCACCATTTATTAAATAGGGAATCCTTTTCCCATTTCTTGTTTTTGTCAGGTTTGTCAAAGATCAGATAGTTGTAGATATGTGGCATTATTTCTGAGGGCTCTGTTCTGTTCCTTTGGTTTATATCTCGGTTTTGGTACCAGTACCATGCTGTTTTGGTTACTGTAGCCTTGTAGTCTAGTTTGAAGTCAGGTAGCGTGATGCCTCCAGCTTTTTTCTTTTGGCTTAGGATTGACTTGGCAGTGTGGGCTCTTTTTTGGGTCC</t>
  </si>
  <si>
    <t>ENST00000307340.7:c.9740-4807T&gt;G</t>
  </si>
  <si>
    <t>ABCA4:c.67-3779T&gt;G</t>
  </si>
  <si>
    <t>AAGAAAGAAAGAGAAAGAAAGAAAGGAGGGAGGGAGGGAAGGGGAAAAGAAAAGAAAAGAAAAAGAAAAAAAGAAGGAAATACCAGTTTGGGAAAAAAGAATTTTCCACCAGCCCTTCTGAGCCTTGGCTGGGCTGAATTAAAGTTACAGACATGTGTAAAGGGCAGGGTAGGGGGAGTCTGAGCTGCTGAGAAAACATGTTTTTAATTATACTGTGGAATTTCTCCCTGGGGTATGCCTGTACGCAGTTAAGCGTCAAGGACAGGGATG</t>
  </si>
  <si>
    <t>ENST00000370225.3:c.67-3779T&gt;G</t>
  </si>
  <si>
    <t>ABCA4:c.6817-1110dup</t>
  </si>
  <si>
    <t>GAGAATTTACAACTTGCTCCTAAGCAAATGTGAGAACTTCAGGAGGTTCATCTGGCCATTGGCTTTACAACTCCAAATTGTGAGCCAGGACCACACAGATATTTCTCTAGAAATCAGCGTTTGCTTACCAAGAAACATTTTTACTCTCCAAAGGACTCCATCCTGGAAAACATGTTTTGGGATAAGGTCTTATGCAATCTTATACTCTGTTATTAAAACCAGTGAGGGTCAAGGTGTTAATAGATTAAGTAGTGACAGATGATCAGACAA</t>
  </si>
  <si>
    <t>ENST00000370225.3:c.6817-1110dup</t>
  </si>
  <si>
    <t>USH2A:c.12067-22719G&gt;A</t>
  </si>
  <si>
    <t>GGAGAGCTCCAGCTGGCATCCGGCAGGTGCCCCTCTGGGACAAAGCTTCCAGAGGAAGGAGCAGGCAGCAGTCTTTGATGTTCTGCAGCCTCCACTGGTGATACCCAGGCAAACAGGGTCTGGAGTGGACCTCCAACAAACTCCAGCAGACCTGCAGAAAAGCGCCCTGACTGTTAAAAGGAAAACTAACAAACAGAAAGCAATAGCATCAACATCAACACAAAGGAAGACAATGAAACAACCCCATCCGAAGGTCACCAATATCAAAGA</t>
  </si>
  <si>
    <t>ENST00000307340.7:c.12067-22719G&gt;A</t>
  </si>
  <si>
    <t>VPS13B:c.3083-14717C&gt;T</t>
  </si>
  <si>
    <t>TTTGTGCTTCCTGAGTGAGGCGATGCCCCACCTTGCTTCGGCTCACCCTCCCTGGGCTGCATCCACTGCCTAACCAGTCCCAGTGAGATGAGCTGGGAATCTCACTTAGAAATGCAGAAGTCACCCACCTTCTGTACTGATCTCGCTGGGAGCTGCAGACCTGTGCTGTTCCTATTCGGCCATCTTGCCAGCCACCTGTGTTACTAGAATTTTATAGTGCAGTATTTGTCAAACCAAATGATAATCATAGTATTTAATTAAGTTTATATC</t>
  </si>
  <si>
    <t>ENST00000358544.6:c.3083-14717C&gt;T</t>
  </si>
  <si>
    <t>USH2A:c.4628-4919C&gt;G</t>
  </si>
  <si>
    <t>AATGGATATTTAGTGGTATTGCATTTCATTTTGCATTTCTCAGATGACTAATGATACCGACCATCTTTTTCATATTTTTTTTTTCTGGCTATGTATCTTGGTATCAGATATATGTATTGCAAATATCTGCTTTCAGTATGTCATTTGTCTTTTCATTCTCTTATTCATACCTTTTGATAGCCAAAAGTTGTTAATTCTAACATGGTCTAATTTATCAACTTTTCCCTTTATGTTATAGCTTCACATTTATCGTTTAAGAATTCTTTGCCT</t>
  </si>
  <si>
    <t>ENST00000307340.7:c.4628-4919C&gt;G</t>
  </si>
  <si>
    <t>USH2A:c.4628-7857G&gt;A</t>
  </si>
  <si>
    <t>GTACAAACAAAGCGCTAACCATTAAAAAATGGTAAATTCAACTTCATCTAAAATATTAAGAAAATGATTGCCATTCTAACTGATGTGAGATGGTATCTCATTATGGTTTTGATTTGCATTTCTCTGATGGCCAGTAATGAAGAGCATTTTTTCATGTGTCTGTTGGCTGCATAAATGTCTTCTTTTGAGAAGTATGTGTTCATATCCTTCGCCCACTTTTTGATGGGGTTGTTTGTTTCTTTCTTGTAAATTTGTTTGATTCTGGATATT</t>
  </si>
  <si>
    <t>ENST00000307340.7:c.4628-7857G&gt;A</t>
  </si>
  <si>
    <t>EYS:c.-332-21570G&gt;A</t>
  </si>
  <si>
    <t>CATACTACTATTCTTAAATGTTAATTTCCAAGTGTAAATTTTATTTAAGTTATTTTACTTTAAAATGTTAGTTTTATTTAGCACAGATAAGTTGATAAAAAGCCCAAAATGACTTGCCTAACCATAGACCTCATAAGGATGTAATTACAGCATCATTTTAAAATAGTTTGTTTACCCGTAACCTCACTTTACATAATACGTAAGTATTGCTTCAACCGTAATTTTATTAGCTTGGATGTAAAGGCAGATTAATTCATTGTGAAAGATTTT</t>
  </si>
  <si>
    <t>ENST00000370621.7:c.-332-21570G&gt;A</t>
  </si>
  <si>
    <t>EYS:c.-333+6180T&gt;C</t>
  </si>
  <si>
    <t>GTGTGAGAAATTGGAAAAGGGCCAGTTTGTGGCTTTGAGGGTAGGTATTTCATAATTATAGTAGATGTATTCTAGGCAGCTACTATTAAGCAACACTGATTATCTCAGTAAACTGTAGAGGGAGAAGCACTGAACAATGGACAGCTTCACCACTTAATACCAGTGTGAACTTGGGCAAGTCACTTATCCTTCCAATGACAAGTTTTCTCATCTATAAAACAGAGACATTAAAACCTACTTCGCCTACCTCTACAGATTAGTGGGAGAATT</t>
  </si>
  <si>
    <t>ENST00000370621.7:c.-333+6180T&gt;C</t>
  </si>
  <si>
    <t>EYS:c.-447-9287G&gt;T</t>
  </si>
  <si>
    <t>ATAGGTTAAGGTCTTTGAAAAGGCGTCCAATCTTGAAAACAAAACAAACAAAACAAAACACATACAAAACTCTTGCTAGAATAAAGGAAATCATAGAAAATAGTTGGGTCTTGCAAGTAATGTCAATTTTTATTTTTTAAGTTTTTCTTTTTTCCTTTTTTTTTTTTTTTTTTTTTGAGACAGAGTCTCGCTCTGTCGCACAGGCTGGAGTGCAGTGGCGCGATCTCAGCTCACTGGCCTCCCAGGTTCAAGTGATTCTCCTGCCTCAGC</t>
  </si>
  <si>
    <t>ENST00000370621.7:c.-447-9287G&gt;T</t>
  </si>
  <si>
    <t>EYS:c.1299+2739T&gt;G</t>
  </si>
  <si>
    <t>ATGTGAGTTATATTGTTAATTTTTAAAGGGAAAGAACAAATAAAATTAGAAAATATATTGTATAGATAATCTTTAGATATAAATGAAAATAAAGGTAAATACACATTTTAAATGTTCAAACTGTCTCAAATTTTGAAATTTAATTTTATTTTGCTTTAAGTTCTGGGATAGATGTACTGAATGTAAACGTTCGTTACATTGGTATACATGTACTATGGTGGTTTGCGGCACCTATCAACCCGTCATACAGGTTTTAAGCCCCACATGCAT</t>
  </si>
  <si>
    <t>ENST00000370621.7:c.1299+2739T&gt;G</t>
  </si>
  <si>
    <t>EYS:c.1767-814A&gt;G</t>
  </si>
  <si>
    <t>AGAGGAACCCAAGAAAAGTTGTTCAATGTATAATGATCAAATAAATTAGGCCTTGAACAGATGTGTGTGTGTTTCTGTGCACGTCTGTATTTGAAAGGAAGGAAAAAGTGAAAAATCTTTGTCTCTCTAACTCCGGAAAAATATCCCCACTTTTGTTGATAGCCAACATAGTTCTCAACATTAAACCTAAAATATATTTAAAATACATTTACATAAATTGCAGACTATTTCACAATTGTCTTCACTTACAAGAAAACTATGTAAAAAACT</t>
  </si>
  <si>
    <t>ENST00000370621.7:c.1767-814A&gt;G</t>
  </si>
  <si>
    <t>EYS:c.2024-36566G&gt;T</t>
  </si>
  <si>
    <t>ACAATGTTTATCCTGCTGCTATTGTATGGAATCTTTCATATGTGTCTGTTAGGTCCCGTTGGTCTATAGTATTGTTTTAGTCCTCGGTTTGCTTTTTTTTTTTTTTTTTTTCGTTAAGATATCCCATTCATTATTTAAGTGGAGTATTAAAATCTCCTGCTGTGATTTTTTTCTGTCTGTTTCTCCCTTCATATAAGTCATGTTTGCTTTATGTATATATTTAGGTGCTCTGATGTTGGGTGCCTATATATTTGTAATTGTTTTATCTTC</t>
  </si>
  <si>
    <t>ENST00000370621.7:c.2024-36566G&gt;T</t>
  </si>
  <si>
    <t>EYS:c.2024-62759G&gt;T</t>
  </si>
  <si>
    <t>GTGCAGAATCTTGTCTATTCCAATCTTACTGAATCATAGTCTGCACTGCATTTTAATACAAACTCCACATGGTTTGCATTAAAGTGTGTGACACACTGGTATGGAAAGACAATATATATCTTAAAGGAACCAAATATTTTTTTTTTTTTTTTTTTTTTTTGCTTATTTAAAGAAAAAGAGTAATGTCTGGAAGCATTGATAATGAGCCATGTCAGTCCTTGTCTCTGACATATGTGATGTGTAAGAGAAGAGCCTTAAGAAGGCCGCAGA</t>
  </si>
  <si>
    <t>ENST00000370621.7:c.2024-62759G&gt;T</t>
  </si>
  <si>
    <t>EYS:c.2024-64603T&gt;C</t>
  </si>
  <si>
    <t>ATCAAATTTTCTCATTGACACGCTCTTCATAACTTTCACCTTATTATGTCTACCAATCCAGTGCATAAGCCCAATTAGGTCCCTGTCTTTGAAGACCTGTCTGAATTATAAACATTATTATTAGGAAAAAACAAGCGGGGTGATATGTATGAATGGTTTCTTCTGGTGTGGCAAATCCCCTTTTTGTGATATTGTGAAAGCCAAGTTATTCTGGACTACATTTGAAAAACCTGCTTTTTTAGTATATTCATTTCTGTGCATATGTTATTC</t>
  </si>
  <si>
    <t>ENST00000370621.7:c.2024-64603T&gt;C</t>
  </si>
  <si>
    <t>EYS:c.2138-17939G&gt;A</t>
  </si>
  <si>
    <t>CAGATGTGAGCCACTGCACCCGGTGGTACAATTTCAGTGGGAACCTCAGCATTTTTTATTTTCTGAATTGATGACATCATTGTAAAAAACTAATAAAAAACAGGTTTTTAATTTTTCCTACCAAATATGTATGCAAATAAAATGTGCCTTAGCTTCTTAACATTAATTTAAGAGAATATAGTTTTCAGCAAAATAAAACTTCAAAGAAATAAAGCAGCATTATATATATTTTTAGATACAACTAAGAAATACAATACAATGTGATTCTCT</t>
  </si>
  <si>
    <t>ENST00000370621.7:c.2138-17939G&gt;A</t>
  </si>
  <si>
    <t>EYS:c.2259+25065G&gt;C</t>
  </si>
  <si>
    <t>TACAATAAAGTAAGCTAGAGAAAATAATGTTATAAGAAAATCATAAGGAAGAGAAAATATATCTACTATTCATTAAGGAGAATTGAGTCATCTTTAAGGTCCTTATTGTCTTCACATTGAGTAGAGTGAGGAAGACGAGGGATTGGCTAGAGTGAGGAAGAGGAGGAACAGGAGGGATTGGCTTTGCTGTCTCAGGAGTCGCAGAGGTGGAAGAGGTGGAAGGAGAGGCAGGAGAGAGACACATTCTGTAACTTCATGAAAATACATAGT</t>
  </si>
  <si>
    <t>ENST00000370621.7:c.2259+25065G&gt;C</t>
  </si>
  <si>
    <t>EYS:c.2992+7213dup</t>
  </si>
  <si>
    <t>ATTTAGCTTTCATTTCAGTTCCCCAAAACTGTCTATCTTACCTAATATTTTTAGCGCATTCTGCAATGTTCACAAACAAAATATCTTATATTTTCTCTAAAATAATATTTATGAAGCTTTTTGTATGTTTTTTTTCCTGCCTTGCCTCAGTGTTTCAGAATTTCTTTTTTCTGCGTGTATGTGCTATTTTCTTGTTTATGTATCTATTTATTTAGAGATATCCCTTTAATATGAGAAAATCCTTGAATATCGGTTAATGTCTAAGAGAGA</t>
  </si>
  <si>
    <t>ENST00000370621.7:c.2992+7213dup</t>
  </si>
  <si>
    <t>EYS:c.2992+9250T&gt;A</t>
  </si>
  <si>
    <t>TGTTTATGTAAAATACCTTGTAAACTTGCACTCCATGTTTCCGCAATTATCAATTTCATCATTGTTTTCTCTTACTATTAGTGGATCGCATAATTGTTTAGATCATCATTATTTCTATTTTTAGATATGTTCACAGATTGAGGAATTTCAACCATTTAAAAAATACCATAAATATACTAATAATTCCCAAATATGTTCTATGAATCTTTGTGTCTCCCCTGAACTCTCAACTCATATACCCAAATAACTACTAACATGTTCATTCAGGTA</t>
  </si>
  <si>
    <t>ENST00000370621.7:c.2992+9250T&gt;A</t>
  </si>
  <si>
    <t>EYS:c.2993-21091G&gt;A</t>
  </si>
  <si>
    <t>TGGCAGCAGCAAGAGAAAATGAGAAAGATGAAAAAGCAGAAACCCCTGAGAAAACCATCAAATCTTGTGAGATGTATTCACTACCACAAGAATAGTATGGCAGAAACCATCCCCATGATTCAATTATCTCCCACCAGGTCCCTCCCACAACACGTGGAATTATGGGAATTCAATTCAAGATGAGATTTGGGTGGGGACACATAGCCAAACCATATCATTCCACCCTGGGCCCCTCCAAATCTCATGTCCTCACATTTCAAAATCAATCAT</t>
  </si>
  <si>
    <t>ENST00000370621.7:c.2993-21091G&gt;A</t>
  </si>
  <si>
    <t>EYS:c.2993-2754A&gt;C</t>
  </si>
  <si>
    <t>GCAGAGGTCCCATTAAATATTTCCCCTTGGCTGCACAGACAACTCTTTTAGTTATGCACCTCAGAGGCATCACCATCGCCTCATTGGATTCTGACTCTCACCTTCGCAAGGACTAACAGTTTCCCCAGATTCTCCAGAACTGTTTTGTTCGTGGTTGGGAAGAGGCTGGGATTTCTGAGAAAATAACAGATATCTGTAAAACAAAATACAAAAACATGCACACATAAACCCACACACACGTATATGACAAGGATTTATTTTTTAACAAAT</t>
  </si>
  <si>
    <t>ENST00000370621.7:c.2993-2754A&gt;C</t>
  </si>
  <si>
    <t>EYS:c.2993-7680C&gt;A</t>
  </si>
  <si>
    <t>CACCAAAGTTGATCTTGGTACTGCATCTGATACTTCTCTTCCTCCTCTCCTGTGCAAATTATATTACCCTCATCCTTGGCTAGAAAATATGCTGGCCTACTGGATTACCTGGTGAATTAATCTAGAAACTCATGCATGACAGTTAATCTCCTAGTAAGGCTATGACTTTTTTGTTTGTTCATGAATGACAATGAAGACTCTGCTCAGTAGATCACCTTAATGTCACATATTTTTATCCTTGTCCCTACTTTATAACAGTGTCCTACTTCC</t>
  </si>
  <si>
    <t>ENST00000370621.7:c.2993-7680C&gt;A</t>
  </si>
  <si>
    <t>EYS:c.3443+47455T&gt;C</t>
  </si>
  <si>
    <t>ATTATTTTACAAAAAAAAAGGGGGATTTCATTTTTTCCCATAGCCTAGCTAATATATTTGACCCTAATTACTTGAAAATAGTGCCAATAGCTCAATGAAGAAAAGCTGAAGGTATGGTACTAAATATTTTCAGAACTTATTAAATCTGAAATACACCCATTGATATGGTTTTTTGGCTCGGTATCCCCACCAGAATCTCATCTCAAGTTGTATCCTTAGTATTGGAGGAGGGGCCAGGTGGGAGGTGATTGGATCATGGGGGGCAGATTT</t>
  </si>
  <si>
    <t>ENST00000370621.7:c.3443+47455T&gt;C</t>
  </si>
  <si>
    <t>EYS:c.3444-52853G&gt;C</t>
  </si>
  <si>
    <t>TACCCAACAATACACTCATACATCCATAAAAAAAAAGAACCATCAGAACGATAAACCAGAAACTAATTAAAGAGGGAAATCTCTACAAGATGTGAAGTTGGGGTAGAGACTGCAGAGAAGAGGATAGAAATGAAACTGTAACTTTTTATAGTACAGCTTTTTATAGATTATGAATATATAAACTTTAAATTATGTAAGTGTATAACATATTGAACACATTTTAAAAAATCAAAGTGTTTTTTTTTTTTTTTGAGAGGGAGTCTCTATCGC</t>
  </si>
  <si>
    <t>ENST00000370621.7:c.3444-52853G&gt;C</t>
  </si>
  <si>
    <t>EYS:c.3444-74354G&gt;T</t>
  </si>
  <si>
    <t>TGTTTGAATCATCTATGATTTGTTTCATCAGTGTAATGTAATTTTCCTTATAGAGATAATTCCCCTCCAGGGTTAAATATATTCCTAGTTACTTTAATATTTTAGTTATCATAAACATAATTGACTTATTTATTTTTATCTCTTTGTCATCATTTGTATATAGAAAGGCTACTGATATTTTTGTTGATTTTCATTTGGGAACATTATTAAAGTCATGTATCAAATCTAGAAAGCTTTTGCAGGAGTCTTTAGCCTTTCCTAGGTATAAGA</t>
  </si>
  <si>
    <t>ENST00000370621.7:c.3444-74354G&gt;T</t>
  </si>
  <si>
    <t>EYS:c.3444-88301C&gt;A</t>
  </si>
  <si>
    <t>TGGTGGCAGGCTCCTATAGTCCCAGCTACTCCAGAGGCTGAGGCAGGAGAGTGGTGTGAACCCGGGAGGCGGAGCTTGCAGTGAGCCGAGATTGCGCCACTGCACTCCAGCCTGGGCGACAGAGCCAGACTCCGTATCAAAAAAAAAAAAAAAAAAAAAAAAAAAGAAAGAAAGAAAATGTGTTTCAAATAAGTCAAATGGCTTTACTAATATTACACACGAGTCAACTGCTAGATGAAAATTTTAAAAACTTGTCTGTTGACAGTGAAA</t>
  </si>
  <si>
    <t>ENST00000370621.7:c.3444-88301C&gt;A</t>
  </si>
  <si>
    <t>EYS:c.5644+33826C&gt;T</t>
  </si>
  <si>
    <t>TCCATTTTCTGAAAAAGTTCCCTCATGCCTTTGTGTAGTCAATAACCCCCACTCAAACTCTGGACCCTCAGAAACCACTGATAGTATTTTTATCCTGATAGGCTTTTCTCTCCTCAAATATCATGTACATGGGATGATACACCACAGACCCTCTGTGTCTAGCTTCCTTCACTTACCACATTGCTTCTGAGAATTATCTTTACTGCTGCATGTACCCATAGTTCATTCATTTTGATTGTTAAATAATATTCTATTGTCTGAATATACCTT</t>
  </si>
  <si>
    <t>ENST00000370621.7:c.5644+33826C&gt;T</t>
  </si>
  <si>
    <t>EYS:c.5928-14373A&gt;T</t>
  </si>
  <si>
    <t>TTATCCTTTTAATGATTAAGAAAAATAAAATTTCAGACATATTTTGTGAATATTCATAAATTGTCAAGTACCATATTTTTAAATATTTTTACACAATTTTGCCAAATAATATAAAATATAAATGTATGCTAAATTTACCTAGTTCTCTTGGTGTTTTCTTTTTATAAAGTCTATATTTTATCTCAAGGGAATATTACTAGATGTGGCTTAATTGCTTATAATGATAACGATAATTGGATATATTGTTCTTGATTAAATTTTCAATGATCT</t>
  </si>
  <si>
    <t>ENST00000370621.7:c.5928-14373A&gt;T</t>
  </si>
  <si>
    <t>EYS:c.5928-21284A&gt;G</t>
  </si>
  <si>
    <t>GAGTTTCCATCAGCCATCAGGGAATGCTGCAGAACAGAATCTGACTGTTGGATGCAAAGATAAAATGTTAGCCAGGACCCTAAAATGTTGTGTTAATTCACAGACTCATGGGTCCTGCCTGGTTAAATGCCCTGAGTCTCTTTTTTTATCTGCACTAACACAGTCCTATTAAATCTTAAGAGTCCATGAATGCCCTAATTTTTACAATTATAAATGCCCCAAGAGTAACTCGTCTGTGTTCCCCTCTACTGATAAGAATCACTAGTTACT</t>
  </si>
  <si>
    <t>ENST00000370621.7:c.5928-21284A&gt;G</t>
  </si>
  <si>
    <t>EYS:c.5928-99A&gt;T</t>
  </si>
  <si>
    <t>TATTTCATTGGTTGATTGCTATAATTTGTTGTTTTGTCAAACTGTAACTTTGTGTTTATGTACTTAAAGCATTAAGGATTCTAATTTATAACAGATTAATCTGCTTCTGGCTTTGTTTTATTGTGAAATAATCTTTTTACTTAAATTATTCTTTTGATAATAGTTTAATTAATTTGTCAGATAAATGTTTATATGACTTATACTAAAACCATTTCTTTCTTAAATGGTTACAGGCAAGAATTGGATCCATGTAACGCTGAGCTGACTATT</t>
  </si>
  <si>
    <t>ENST00000370621.7:c.5928-99A&gt;T</t>
  </si>
  <si>
    <t>EYS:c.6078+1033C&gt;T</t>
  </si>
  <si>
    <t>TATCTGTAAGCACGCAGAGATTTAGATTCAGATTTACTCCATTAGCAGTATGTTTATTGATCATTAAACAGATATTTGTGACTTTTTCTATAACATTAATGTGCTTCATTGACTTTTTCGTAAATGAAACCATTTTAAAAGTTCCATGATAGTAAAAAATATGTTTTGTTTATTTTTTTATACACCAAGGCAAGGACAGTTCCTGTCACATTGTTGGAGTTCAATGAACAGCTTTTAAATAAAGGCCTCAGTTAAAGAATGGATGAAACA</t>
  </si>
  <si>
    <t>ENST00000370621.7:c.6078+1033C&gt;T</t>
  </si>
  <si>
    <t>EYS:c.6078+8971C&gt;T</t>
  </si>
  <si>
    <t>GTTCACGATGATTCTATGCATATATATGTAGGCATATGTACATATATATGTCACATACCATTTCCTCAGCATATAAATTGCACAGACATTCTTTGTATTAAGATATTATCTCAGTCACAAATTCTATTGTGTTCTGCTCACCTAAGATCACCTCACTTTCATGTGATATCCCTGAGGACACTTCTTGAGAGACTCCCATCTGGTGTTCCTTCTGTTCTGCTTAAATTTTCACTTAATTCTAAAAGATCTCAAAGGCTTTTCATTTTAAAA</t>
  </si>
  <si>
    <t>ENST00000370621.7:c.6078+8971C&gt;T</t>
  </si>
  <si>
    <t>EYS:c.6079-24050A&gt;G</t>
  </si>
  <si>
    <t>CTTTCCTTCAGTAGTTAATAATCCTCTTTCCTTGTATATGGCTCCATGGGCATGCAAATGGCAAAAACATACCTTGAGTCAGTATAGATGCTTACTGACTTTCCTTTGGCCAAGAGCAACGTTCTAGTGAGAGCTGTTAGCTCAGCTCTTTGGGCCGAAGTTCCGACCAGCAGAGGGCAGGCTTCAGCTACTGAATTCAGTGTTACCACTGCATATCCAGCCCATCTGACACCTTCAGATATGAAGCTGCTTTCATCAGTAAAGTATTCA</t>
  </si>
  <si>
    <t>ENST00000370621.7:c.6079-24050A&gt;G</t>
  </si>
  <si>
    <t>EYS:c.6079-34603A&gt;G</t>
  </si>
  <si>
    <t>AGGAGACACTGACATAGAGATTAATGGGCAAGTGGTTAGAGAATGCTTTGGAAACACCATCTATGAAAGATAAAGGAAAGGAAGGAAGTAGGATTGGATAGTGGGAGTAGTTGGGATGACATGCAGTCATTTTTTGAAAAATTTCAGCTTTTAGTTACAATAAAGAGGGGGTAAATGTGAGAATTAGGATTGTTACATGGGTGTAGGGGAGCCAGCTAGTGAGCATAGTACCCAATGGGTAGTTTTTCCACCCATGTACTCCTCTCATCC</t>
  </si>
  <si>
    <t>ENST00000370621.7:c.6079-34603A&gt;G</t>
  </si>
  <si>
    <t>EYS:c.6191+32488_6191+32489insAAACA</t>
  </si>
  <si>
    <t>AAGGATAGTTACCCCACTCCAGGATGAAAGAAAAATTTGTACAAAATTCTTAATGTGATCATACTTGGCAAATTCGAAGGTCACTAAGATCAATGTAGCTGATTTGTAAAAAAAAAAAAAAAAAAAAAAAAACACGGCCAGGCGTGGTGGCTCGCGCCTGTAATCCCAGCACTGTGGGAGGCTGAGAGGCAGACAGCAGACAGATTGCTTGGGCCCAGGAGTTTGAGACCAGCCTGGGCAAAATGACGAAACCCGTCTCTACTAAACAGA</t>
  </si>
  <si>
    <t>ENST00000370621.7:c.6191+32488_6191+32489insAAACA</t>
  </si>
  <si>
    <t>EYS:c.6192-21147T&gt;C</t>
  </si>
  <si>
    <t>ATTGAAAAATATTCAAATGACAATTCCATCATAATTTATACTGACTTCTAAATCCATCCTCTAAAATGTATTACATTTTCCAGTTGCCAGTACTGAGAATTTTTTACACTTTTTCACATACTGTCTTTTCAGCCTAGAATAACCTTTTCCACCTTGAAATCTCCTTTCTATTCTTCAGGATTTAAATCAGTTGACCTCTCTTTGAAGCCTTCTTAAATTCTTGATACAGACTTAATTTCTTCCTTTTGGCATTTTAGAACTTCTCTTCAC</t>
  </si>
  <si>
    <t>ENST00000370621.7:c.6192-21147T&gt;C</t>
  </si>
  <si>
    <t>EYS:c.6424+19503C&gt;T</t>
  </si>
  <si>
    <t>TGTCATTAGGCAGGGTTCTCCAGAAAGACATGACCAATGGAAGATAGACGGATAGATAGATTAGAGGAGATTAATTAGAGGCATGGGTTCATGCACTTATGGAGGCTGAGAAGTTTCATAACAGGCCATTCACGATCCCAAGACACTCAGTTCAAATCCAAGTCCAAAAGCCTCAGAACCAGGGAAGTTGATGGTGTAACTCTCAGTCATTGGTTGAAGGCCTGAAAACCTGGAAGGCCATTGGTGCAAGGCTCAGAGTCCAAAGGCTAG</t>
  </si>
  <si>
    <t>ENST00000370621.7:c.6424+19503C&gt;T</t>
  </si>
  <si>
    <t>EYS:c.6425-43785_6425-43784dup</t>
  </si>
  <si>
    <t>AGAAGAGAATAGTGCAAATGTGCATACACCAATGGGCTGATACAATTTATATTGAGTGTGGTAATCGAGGGTCTCATTCCATCTCTCTGATGTTTGAGAGTTGACAACTTTTTTTTTTTTTTTTTTTTTTTTTTGAGACGGAGTCTTGCTCTGTCGCCCAGGCTGGAGTGCAGTGGTGCGATCTCCTCTCACTGCAAGCTCCGCCTCCCGGGTTCACGCCATTCTCCTGCCTCACTCTCCTGAGTAGCTGGGACTACAGGTGCCCACCAC</t>
  </si>
  <si>
    <t>ENST00000370621.7:c.6425-43785_6425-43784dup</t>
  </si>
  <si>
    <t>EYS:c.6725+15340C&gt;A</t>
  </si>
  <si>
    <t>CAAAATACTCCCAGCTCCTAACCCATTTTCAACAACATGACTTGGGAAATCCTCACCTTCCTAACTATTCCCTACATTCATCATTCAACGTATCAGCTACCAGATAATCTATCAGAGACAATGGAATTCAGTATTACCCTTATAATATAAAAATGCATAACAAAAGTGAGATTATAATATGCTCAAACAAGAATGAATTCACTTTTCTCAATATTCAGATCATTCAGATTGTGATTTTAGCCAGCTAAGTCCGTATGTCTTTTTAACATA</t>
  </si>
  <si>
    <t>ENST00000370621.7:c.6725+15340C&gt;A</t>
  </si>
  <si>
    <t>EYS:c.6725+28660G&gt;A</t>
  </si>
  <si>
    <t>CATAAAATTCACAGTGACTCTGTACCCTATTAATGATTTTAGGAGGAGGTGAAAAATCAGAAATAATGACAGATGGAATAGCTAGTAAATCCGTAGCAACCTAGCATCTCATCTGCATGTGTGTGTTTATTCATTATTTCATAGTTTACTAATGATTCATATTCATTGAATATGATCTTGTTAAGATGCTGCCAAGGGGAGTAGTTTATTCAAAACCTCATTCCCTCATTGGGAAATCTATCATATTTCTCATAATCTTTGCCTATCTTT</t>
  </si>
  <si>
    <t>ENST00000370621.7:c.6725+28660G&gt;A</t>
  </si>
  <si>
    <t>EYS:c.6726-13224del</t>
  </si>
  <si>
    <t>TGTTACAAACAGGGAGGTAAAACAATAATGCTATCAATTAGATCTTAAGTTAGTCTTTGTAGGGATCAGATTCCTTTCAGTGCCTCCATCTCTGCCATGTACCTTTACTGCCATCTGCTGATACTGAGTCTCTGGCTCTGAGTCTCCCATCCCAGCTATTCTCATGTAGAGCTGTCACTAGTCAGCTAAAACTTCTGGCTGAGCATGGAGATCATAGTTGCTAACAACTGAACTTACCCTCTTTCTATCTTAAATGTAGCCTAAGAAGAT</t>
  </si>
  <si>
    <t>ENST00000370621.7:c.6726-13224del</t>
  </si>
  <si>
    <t>EYS:c.7228+12000_7228+12001insTTT</t>
  </si>
  <si>
    <t>CTGTGGGATCAGTGGTGATCTCCCCTTTCTCATTTTTTATTGTGTATATTTGATTCTTCTCCCTTTTCTTATTAGTCTGGCTAGGGTTCTATTTTGTTAATATTTTCAAAAAACCAGCTCCTCAATTCATTTTTGATTTTTTTTTTTTTTTTTTTTTTTTTTTGAGACAGAGTCTCGCTCTGTCGCCCAGGCTGGAGTGCAGTGGCGGGATCTCGGCTCACTGCAAGCTCCGCCTCCCGGGTTCACGCCATTCTCCTGCCTCAGCCTCCC</t>
  </si>
  <si>
    <t>ENST00000370621.7:c.7228+12000_7228+12001insTTT</t>
  </si>
  <si>
    <t>EYS:c.7229-5195T&gt;C</t>
  </si>
  <si>
    <t>ATCAGTTTGAAATTCTTATCAGACATACAAATATATGTTCATTATCTAGTAGTTGGTTGGATATGTGAATCTGGAGCTCTGGAAAAAAGCAGGGATAGAGACTGTTTACTCAGGACTCATCCACCTGTAAACGGCACTCATGATCAAATACAGAATGATGGTAGATGGAGATAACTGGAAGAAAAGGAGAATGAGGAGCAGCAGTCATTAAGGTAGGAAAAAATATCAGGACAGTGCAGTGGTCATGGAGACCAAGTAAAGAAAGCATTT</t>
  </si>
  <si>
    <t>ENST00000370621.7:c.7229-5195T&gt;C</t>
  </si>
  <si>
    <t>USH2A:c.1971+16721C&gt;G</t>
  </si>
  <si>
    <t>CACCAGCATTTTTCTGGGAGTTTAAGTCTCTTATGAATCTGGGAAGAAAGGAACTAAAAATGAGCAGGGATGAATAGCAAAATGAGTGAGTCAACGAGTAGCAGGCAGGACATTAGAGTGAAGCTGTTTTCTTAGCCAGAAGACTGATGATGGGAAAGGAAAAAAGAACAATTCAAAATTAGTAGAAGAAAAGAAATAATTAATAAAACATGAGTGGATATTAATCAAATAGAAATTGGACAAAAAATAGTGAAAATGAACAAACGCAAT</t>
  </si>
  <si>
    <t>ENST00000307340.7:c.1971+16721C&gt;G</t>
  </si>
  <si>
    <t>USH2A:c.7301-576T&gt;G</t>
  </si>
  <si>
    <t>GCCGGAGACTCAACTAGACTAGAAAAAGTGGTATGCATGTTCCAACTTGCAAAATTGAGTAAGGGCAGGAGAAGGGATAACTCTGAGAAGGGTAATTGTATAAAACACATAGGGAAAAAAGTTTACTTTTTATAGTTTCATGGGTGAGCATTAAGGCTGGAATACACTGTATTCAGCCATTCATGTTTATTTATCATTCCAGAAAAATACAATTTTAGCTAACTTCCCTTCCTCCAAAAAAAAAAAGAAAGGAAAAGAAAGCCATTGTGT</t>
  </si>
  <si>
    <t>ENST00000307340.7:c.7301-576T&gt;G</t>
  </si>
  <si>
    <t>USH2A:c.9371+4216del</t>
  </si>
  <si>
    <t>CTGGGAAATGGTATCTCCAAATCTTTTGCAAATTTCTTAATTAGATTCTTTGTTTTCTTATTTTTTGAGTTTTGAAAATTTTTTAAATATATTTTGGATTTGAGTTTTTGTCACATATGTGATTTACAGATATTCTTCTCTACCTTATGATTTGTTTTCAATTATCTTATTTGTGTGTTTTTAAGAGAAAGAGTTTTAACTTTCCAAGAGAGTTAGATTTGTTACTTTTTCCTTGACAGTTTGTGCATCTGGTATTTTATCTAAGAACTT</t>
  </si>
  <si>
    <t>ENST00000307340.7:c.9371+4216del</t>
  </si>
  <si>
    <t>OGI3575_005185</t>
  </si>
  <si>
    <t>CACNA2D4:c.1352-521G&gt;A</t>
  </si>
  <si>
    <t>GTTCCAGACAGAGGGAACAGTGTGCTGAAAGGGTCTGAGACCTGCTGGGAGCAGAGAGGTGCTGCATCTCACTGGCGAGGGGGATGAACACGGTGGGAGGTGGGGGCGTGGAGAGGCCATTCACAGCCTTCTGCACCATCTGCGCTTTGGAGTGTCACCATGGTTCCAGGGAATAGGCTGTAACACCCACCCCACAACCTGAGCAAGAACAAGGACCAGAGGAAGGAGGAGCGGAGAGGCAGAAATCTCTGCCTCTGATTGGGTTCCCTG</t>
  </si>
  <si>
    <t>ENST00000382722.9:c.1352-521G&gt;A</t>
  </si>
  <si>
    <t>CACNA2D4:c.782-5210T&gt;C</t>
  </si>
  <si>
    <t>TCAAGAATTTCTTGTAGAGCAAGTCTAGTGGTGATGAATTCCCTCAGCTTTTGCTTATCTGGGAAATATTTTATTTCTCCTTTGTTTATAAGGAATAACTTTGCTGGGTATAGTATCCTTGACTAGCAGTTTTTCTCCTTTTCCAATAAATTTGAATATATCATCTCATTCTCTCCTGATCTGAAAGGTTTCTGCTGAGAAATCCATTGCTAGTCTCATGGAAGTTCCCTTGTAAGCAACTAGACAACTTTCCCTTGCTGTTTTTAGAAT</t>
  </si>
  <si>
    <t>ENST00000382722.9:c.782-5210T&gt;C</t>
  </si>
  <si>
    <t>OGI1870_003243</t>
  </si>
  <si>
    <t>VPS13B:c.3445+6891A&gt;G</t>
  </si>
  <si>
    <t>ATTTAAGTAAATAAATCTGATGAGCTGCTGCATATATGGATCTAGAGCTCTAAAGAGGGATCATAGAGACACAAAATGACCACAGGGAAAACATGAAAAAAGATAGGATTATCCGAAGTCATTTATAGAGTGACAgATGAAGTGGGATCTGCATATAACAAGGCAGGGAACGTAATGTTATGGGATGAGAAAGGAAGGAATAATTTGTGATGGAAGCTACCAATAGAAGGTCAGGTAAGTAAGGAAAACTGTGAGGAAAAACTGTGAGGC</t>
  </si>
  <si>
    <t>ENST00000358544.6:c.3445+6891A&gt;G</t>
  </si>
  <si>
    <t>MAK:c.-230+584C&gt;A</t>
  </si>
  <si>
    <t>GCGGAACTGAGTTCAGAACTGTTGCAAAATCTAAAAGGAGGGAGAAAAACAGGAATTAGGTCCGACTCCAGCCCTCGCTGGTGCATCCCAAAGGACGCTCAGGTGAAAGTGGAATTCCGCACACCCCCGTCCCCACCAACGGCGCCGGACTCCCGGCGCCCGGGGACGCCCCCTCCTTCCACCACGCGGTCCCTGGAGCCTTTTAAGAGCCCTGGTTTGCAGAGTCGGATCAGAAAGTGTGTGACGAAAACTGTCCCTTTTCTGCAAGTA</t>
  </si>
  <si>
    <t>ENST00000354489.6:c.-230+584C&gt;A</t>
  </si>
  <si>
    <t>MAK:c.102-1701G&gt;A</t>
  </si>
  <si>
    <t>AAAAGTATCTTTTAATAAGCTAGTAAACCCCCATTTCATCACGCTTCTTCATAAATATCTAGTACCTGAGTAACTGCAAATGAAATTCTGATTCACTAAGGATATTTTAGAAATAATAGCAGTGATGCCCTTGAAGTCATCTCAGTGATGTCCTTTATTTCGTCTTATAGTCAATCATAGATATTGGTAAACATGAAAACATCTAGTAGTTATTGAGTGCTGAACTAAGCAGTTTGCAAGATGCTTTTCTTATGCAGTAGTTTCTACTGT</t>
  </si>
  <si>
    <t>ENST00000354489.6:c.102-1701G&gt;A</t>
  </si>
  <si>
    <t>VPS13B:c.3666+466G&gt;A</t>
  </si>
  <si>
    <t>TTCAGATTCTCACTCAGAACTTCTTTGCTTATCATGCAATTTTTTTATTATTATACTTTAACTTCTAGGATACATGTGCACAACGTGCAGATTTGTCACATATGTATACATGTGCCTTGTTGGCGTGCTGCACCCaTTAACTCATCATTTACATTAGGTATATCTCCTAATGCTATCCCCCGACCCCCCAGCCCACGACAGGCCTGAGTGTGTGATGTTCCCCACCCTGTGTCCAAGTGTTCTCATTGTTCAATTCCCACCTGTGAGTGA</t>
  </si>
  <si>
    <t>ENST00000358544.6:c.3666+466G&gt;A</t>
  </si>
  <si>
    <t>MAK:c.1598-583del</t>
  </si>
  <si>
    <t>CAGCTGCTCAGGAGACTGAGACAGGAGAATCGCTTGAACCCAGGAAGTGGAGGTTGCAGTGAGCCGAGATCACACCACTGCACTCCAGCCTGGGCGACAGAGCGAGATTCTGTCTCAAAAAAAAAAAAAAAAAATCACTAATAGTTTTATTTTTTAAATGCCTATAGTTACAATATGTCAGAAATAACATCCTTTGCAACTGTTAAACTTATGATTAAAAATTTTAAATATCAACTTAAAAGTGTGTGAAGAGGTACAGTTTGTTTTTTA</t>
  </si>
  <si>
    <t>ENST00000354489.6:c.1598-583del</t>
  </si>
  <si>
    <t>ZNF423:c.76+21735C&gt;T</t>
  </si>
  <si>
    <t>TTTTAAAGACATCTCCATCCAAATTAATTAGCAATAAAATACAAAGGCCCAAGTGTCAGGCTGGCAGGCAGACAGTGCGTATTGGCCTGGCTGGAAGGATGCGTGGACTTCAGAGGATTCCTTCTGTGTCCTGGTACCTGCTGGAATGTTGTCCTCGATGCTGTGTTTGAGGGCATGTTCTTGGGGTGCCTGGTGGGGTCTGACTCTCCCTGGGATTAAAGGATGAGGCCTAACTCAGTGGGAACTTGCTGTGTGACTTCTGACTGCGCA</t>
  </si>
  <si>
    <t>ENST00000561648.5:c.76+21735C&gt;T</t>
  </si>
  <si>
    <t>CEP290:c.181-171A&gt;G</t>
  </si>
  <si>
    <t>TGTAGTCCCAGCTACTCAGGAGACTGAGATGGGAAGATTGCTTGAGCCCAGGAGGCAGGAGGTTGCAGTGAGCTGAGATTGTGCCACTGCACTCCAGCCTGGGTGACAAAGTGAGGCCCTATCTCAAAAGCAAAAGAAACAAAAACAAAAACCAAAAACTATTTATTCAGCAAATATTTACTGAACGTCTCCATGTGCCAGCCATTGCTGGCACTAAGGATCATAACAAATAAAACAGAATTTTTATTTTCAGTGCTTACATTCCAGTAT</t>
  </si>
  <si>
    <t>ENST00000552810.5:c.181-171A&gt;G</t>
  </si>
  <si>
    <t>OGI3589_005206</t>
  </si>
  <si>
    <t>WDR34:c.187-4512dup</t>
  </si>
  <si>
    <t>GTGCAGTGGTACGATCTCGGCTCATTGCAACCTCTGCTTTTTGGGTTCAAGTGATTCTCCTGCCTCAGCCTCCCAAGTAGTTGGGACTACAGGCGCCCGCCACCATGCCTGGGTAATTTTTTTTTTTTTTTTGGAGACAGAGTTTCACTCTTGTTGCCCAGGCTTGGTTCAAGTGATTCTCCTGCCTCAGCCTCCTGAGTAGCTGGGGTTACAGGTGCACACCACCATGCCCAGCTAATTTATGTATTTTTAGTAGAGATGGAGTTTTGC</t>
  </si>
  <si>
    <t>ENST00000372715.6:c.187-4512dup</t>
  </si>
  <si>
    <t>ABCA4:c.3328+645T&gt;C</t>
  </si>
  <si>
    <t>ACAGCACGGTTCAACCCCGTGGTCAAGCCAGAGCTTTCCCCCTTGCTCTACTCACACAGCGTTGCCCCGTGCCTTTCTCTGAGGGTTTGTCATCCTGAAATCCTCATTGCTATTTTCTTTCTTTCTTTTCTTTTCTTTTTTTTTTTTTTTTTGAGACAGAATCTCGCTCTGTCGCGCAGGCTGGAGTGCAGTGGCGCAATCTCCACTCACTGCAAGCTCCGCCTCCTGGGTTCGAGCCATTCTCCTGCCTCAGCCTCCTGAGTAGCTGGG</t>
  </si>
  <si>
    <t>ENST00000370225.3:c.3328+645T&gt;C</t>
  </si>
  <si>
    <t>ABCA4:c.5898+224_5898+226del</t>
  </si>
  <si>
    <t>GGAACATAATGCCATAATGCAAGTCACATATGTAATTTTAAATCTTCCACTAGCCACATGAGAAAAGTAAAAAGAAAATAGGTAAAATTAATTTCATTAGTATTTTTTATTTTACTCAATATAACCAAAATATTTCAAAATGTAATTAATAGAAAACCTTATTAATGAAATATTTGACAATTTCTCGTTGTTTTTAAGTCTTTGAATCTTTACACTCAGGGCCCGTGTCAACTGGGACTTAGATGTGTTTCAAGTGCTTAGTAGCCACAT</t>
  </si>
  <si>
    <t>ENST00000370225.3:c.5898+224_5898+226del</t>
  </si>
  <si>
    <t>TRPM1:c.1315-2878C&gt;T</t>
  </si>
  <si>
    <t>CATTTTCTGTTGTTTAGATAATAGCCATCTTGGCTGGGCACAGTGGCTTACATGCCTGTAATCCCAGCACTTTGGGAGGCCAAGGCAGGTGGATCACCTGAGGTCAGGAATTGGAGACCAGCCTGGCCAACATGGTGAAACCCCGTCTCTACTAAAAATACAGAAAAAAAAAAAAAAATGAGCCGGGAGTGGTGGCACACATCTGTAGTCCCAGCTACTGAGGAGGCTGAGGTAGGAGAATCACTTGAACCTGGGAGGCGGAGGTTGCAG</t>
  </si>
  <si>
    <t>ENST00000542188.5:c.1315-2878C&gt;T</t>
  </si>
  <si>
    <t>TRPM1:c.54+4678G&gt;T</t>
  </si>
  <si>
    <t>GCAGTGGGAGGGCCTAGAAGGGGAAAGCTCTATTATGTTAATAGAACTCTTTACAGCTGCAAATTTTCCCCCACAAAAGATGGCGGGCCATTTCAAAATATGGCAAAGAAACATATTCTGGGGTAAAATATTTTTATTTCCTTTTTTTTTTTTTTTTTTTTTTTTTTGACAGAGGTCTCGCTCTGTCACCCAGCCTGGAGTGCAGTGGTACAATCTCGACTCACTACAACCTCCGCCTCCCAGGTTCAACTGATTCTTGTGCCTCAGCCT</t>
  </si>
  <si>
    <t>ENST00000542188.5:c.54+4678G&gt;T</t>
  </si>
  <si>
    <t>TRPM1:c.54+4679A&gt;T</t>
  </si>
  <si>
    <t>CAGTGGGAGGGCCTAGAAGGGGAAAGCTCTATTATGTTAATAGAACTCTTTACAGCTGCAAATTTTCCCCCACAAAAGATGGCGGGCCATTTCAAAATATGGCAAAGAAACATATTCTGGGGTAAAATATTTTGTTTTCCTTTTTTTTTTTTTTTTTTTTTTTTTTGACAGAGGTCTCGCTCTGTCACCCAGCCTGGAGTGCAGTGGTACAATCTCGACTCACTACAACCTCCGCCTCCCAGGTTCAACTGATTCTTGTGCCTCAGCCTC</t>
  </si>
  <si>
    <t>ENST00000542188.5:c.54+4679A&gt;T</t>
  </si>
  <si>
    <t>USH2A:c.11390-6519A&gt;G</t>
  </si>
  <si>
    <t>AAAATAGTTGAATAATTTAACTTTTTTATTTGTAAAGATAATCAGGGTTTTTCTGATTACATCTTAACTTCATAAATGTTAAATAACCTATCAGCATCTAGTTGTTGTAAATTATGAAAAGGAGCATTGCAAGGAGTATTAACCAACGAAATCCTTGTTCTTTAGTGAACAAGAAAATGTGTTATGGCAGCTTGTCATTGTGCGACTGGTAACTTTGACACCAAATAACAAAACTGCCATTTGCACTTAGGGTAAATTGGTTCACTTGAG</t>
  </si>
  <si>
    <t>ENST00000307340.7:c.11390-6519A&gt;G</t>
  </si>
  <si>
    <t>USH2A:c.12066+6087A&gt;G</t>
  </si>
  <si>
    <t>TTTTTTTTTTTAAAGAGACAGGGTCTTGCTCTGTCACACAGGCTGCAGTGCAGTGGCACCATCATAGCTCACTGCAGCCTTGATGTCCTGCACTGAAGTGATCCTCCCTCCTCAGCCTCCCAAGTAGCTGGGACTGTAGGTGCATGCCACCATGCCCAGCTAATTTTTTAAATTTTTTGTAGAGATTGTGTCTCACTAAATTGCCCCAGCTGGTCTCAAATTCCCGGCCTCAAGAGATCCTCCCGCTGCGGCGTCCCAAAGTGTTGGAAT</t>
  </si>
  <si>
    <t>ENST00000307340.7:c.12066+6087A&gt;G</t>
  </si>
  <si>
    <t>USH2A:c.12067-14148_12067-14147insGGCT</t>
  </si>
  <si>
    <t>CAAACCATTTTTCTCTCTTGAGTAGCCATGCTTATGACAAAGAAATTTTGAATGCCTTGTGGGTTGTTTGTTTGTTTGTTTTGAGATGGAGTCTCTCTCTGTCACCCAGGCTGGAGTGCAGTGGCGTGATCGGCTTCGGCTAACCGTAAGCTCCGCCTCCCGGGTTCACGCCATTCTCCTGCCTCAGCCTCCCGAGTAGCTGGGACTACAGGTGCCCGCAACCACGCCCGTCTAATTTTTGGTATTTTTAGTAGAAACGGGGTTTCACAG</t>
  </si>
  <si>
    <t>ENST00000307340.7:c.12067-14148_12067-14147insGGCT</t>
  </si>
  <si>
    <t>USH2A:c.12067-14150_12067-14149insCCGTAAGCT</t>
  </si>
  <si>
    <t>ACCATTTTTCTCTCTTGAGTAGCCATGCTTATGACAAAGAAATTTTGAATGCCTTGTGGGTTGTTTGTTTGTTTGTTTTGAGATGGAGTCTCTCTCTGTCACCCAGGCTGGAGTGCAGTGGCGTGACCGTAAGCTTCTCGGCTAACCGTAAGCTCCGCCTCCCGGGTTCACGCCATTCTCCTGCCTCAGCCTCCCGAGTAGCTGGGACTACAGGTGCCCGCAACCACGCCCGTCTAATTTTTGGTATTTTTAGTAGAAACGGGGTTTCAC</t>
  </si>
  <si>
    <t>ENST00000307340.7:c.12067-14150_12067-14149insCCGTAAGCT</t>
  </si>
  <si>
    <t>USH2A:c.15519+470C&gt;T</t>
  </si>
  <si>
    <t>GAAACCCTGTCTGTACTAAAAATACAAAAATTAGCCAGGTGTGGTGGTGGGCACCTGTAATCCCAGCTACTAGGGGGGCTGAGGCAGGAGAATTGCTTGAACCCAGGAGGTGGAGGTTGCAGTGAGCCGAGACCGTGCCACTGCACTCCAGCCTGGGTGACAGAGACTCCATCTCAAAATAAATAAATAAATAAGCAGCAAACAGGTTATACTTCATATACTTGGAGCAGATGACAGGAAACATTGGAATGGGCCTAAAACAAGGCATAA</t>
  </si>
  <si>
    <t>ENST00000307340.7:c.15519+470C&gt;T</t>
  </si>
  <si>
    <t>VPS13B:c.5296-1748_5296-1741del</t>
  </si>
  <si>
    <t>ATGATCACACCACTGCACTCCAACCTGGGCAACAGAACAAGACTCTCTCTTTAAAAATAGTAATAATAATAATAATAATAATAATAATAATAATAATAATAAGAAGAAGAAGAAGAAGAAGAAGAGAAAAGAAAAGAGAAAAGAAAAGAAAAGAAAAGAAAAGAAAAGAAAAGAAAAGAAGAAGAAGCAATACCCAGTTACCCAGTACTTTGGGAGACATTTTTTATCGCTGATAGTAATGTAACTTAGTGCAGCCTTTTTGGATAGATG</t>
  </si>
  <si>
    <t>ENST00000358544.6:c.5296-1748_5296-1741del</t>
  </si>
  <si>
    <t>VPS13B:c.5296-17774G&gt;T</t>
  </si>
  <si>
    <t>ATGCACTTGTTCTTTTGCAATAGTAATGTGAAAGGGGCTCACATTTGCAAGGTTGTTAGAGTTAAAGGTAAAGGCTATGTCTATGAAACATACATATATATATATATTTTTTTTTTTTTTTTTTTTTTTTTCTGTtTGAACCCAATTTAACTGACCCAATAGCAAATGAACTAACTTGCCTAGATAATTCATTATGTGGGTAGATGGGATACAGAGATTGGAAAATGTCATTGGTGGGTTATGTATGTCAGTTGGTAGCCAGTATAGGTT</t>
  </si>
  <si>
    <t>ENST00000358544.6:c.5296-17774G&gt;T</t>
  </si>
  <si>
    <t>USH2A:c.2809+3133A&gt;G</t>
  </si>
  <si>
    <t>CCTGTATCAGTTCTACTCATATCCTATTGATCAGAGCTGCTTTGTATATCCATACCTCACTGCAAAAGAGGCTGGCAAATAGATGCTCTATCTGAATATCAAGGTATATATTTAAAACTTGGGGCCTCTTTTATTGTAAGGAGTAAGAAAGAGATTGATCCTTGAAGACAGCCTTGGCTATACTAGGAATGTCCTACACCTAAAAAAATTAGCTGGCAGAACATTAGTCAACTTCCGAATAGATGCTTTTAATGACCATGAGTTTTGTAC</t>
  </si>
  <si>
    <t>ENST00000307340.7:c.2809+3133A&gt;G</t>
  </si>
  <si>
    <t>EYS:c.-332-3315C&gt;A</t>
  </si>
  <si>
    <t>TTAAAGGCTTCCACAGTTCATAATATTGTCTATTGAGTGCAAATAGAAATAAATTACATCCATCATCTCCAATCTCTACTCAACTATCTTTAATTGAATGCCTATTATATGCCAACTATTATAATGAGCATGTTATATTCAAATTATTTTTTGGCTTATATAAAACTTATTTGTTTAAACTTATTACCTTGTTTTTTTAAAAGATGTAATTTAAGATGACAGCTGTTTGTGAAAGAAGAAATATTGTTCATGTTTTCTTAACTACTGAAT</t>
  </si>
  <si>
    <t>ENST00000370621.7:c.-332-3315C&gt;A</t>
  </si>
  <si>
    <t>EYS:c.-332-44572del</t>
  </si>
  <si>
    <t>TAATCTGCCCGCCTCGGCCTCCCAAAGTGCTGGGATTACAGGCGTGAGCCACCGCACCCGGCCACCTTTCTCTAAGTTTTAAAAGAATATTGCTTCCTACTATATAAAAGTATGTGCTCACATTAATTTTGCTTAATATTGGTATTTAAAAGTATGCTAAGAATTTTATGTATATTTGGCATCAGCTAAAATAATTAATTCCCTTCTAACATTACCTCATTCTGATCAATAGACTTTATAATTCTTGTCTCTAGAGGCACAAATTGGCTT</t>
  </si>
  <si>
    <t>ENST00000370621.7:c.-332-44572del</t>
  </si>
  <si>
    <t>EYS:c.-333+28398C&gt;T</t>
  </si>
  <si>
    <t>CTTAGGGCTTTAAGGAATTTATCTATAAAAAGAAAACTAAACATAAAACTAAGAAAATTAGGATTTCATGAGAAAACAAGAAATAGTCTTTCTTATATACCCATATTATATTCATACTGAAGGTATACTTTATATTGACTTTTCAAATAATTTATTTATGTTCTTAGAGTTTCACCAAAACTGGTTGGAAGCATGCTGCTTAAAGTTTTAAATTGCAATTATACAGAAAATGAACTTATGTAGGTTGAATTCTCTCAGTTCTTCATCATA</t>
  </si>
  <si>
    <t>ENST00000370621.7:c.-333+28398C&gt;T</t>
  </si>
  <si>
    <t>EYS:c.2023+64377A&gt;G</t>
  </si>
  <si>
    <t>ACCTTGATAGCACATTTATCCTTTGCTGTTCATCCATTTGTGTATTTATGGTCAAGGTGAAAAAAACTGAAATCTGTGATACAGACTTTATTGGCTTTGAGCCATCATGATGATTTTCTCTGCCAACACAATGTGTTATTTCATAATTAGGTAAAGAGTCTCTCCCCAATCCTCTCTTTTAATAAAACACCACAGAGAGGGAATTTGAGCGACATAGAACAATTTTAGAATTTAACTGTTTTAATGAATGGATTTCATTCAAATAAATAC</t>
  </si>
  <si>
    <t>ENST00000370621.7:c.2023+64377A&gt;G</t>
  </si>
  <si>
    <t>EYS:c.2024-87668A&gt;C</t>
  </si>
  <si>
    <t>CATCCTTTTTTTTTTTCCTCTTACATAGTCTGACAGACCTGGACTAAAATACAATAATGCATCTTTCATTGTAACCATCTATATGTCTTTTAGACACAAATACCTAAAGATACAGGGCTTCAATAAACTTAACTCTCTGTAAAGTTTTAATGTATAACTCCACTAGTAACTTTACATAAAATGTGAGGGAAAATACCTATATATAATTATTATCATAAAACAGTGGCATAAAGAAAAAATAGTAACAATATATGTTGAAAAAATTCATAA</t>
  </si>
  <si>
    <t>ENST00000370621.7:c.2024-87668A&gt;C</t>
  </si>
  <si>
    <t>EYS:c.2137+15506G&gt;T</t>
  </si>
  <si>
    <t>ACATAGATAAGTTGCAAGAAAGACAGATATACTGTTCAAAAAAAGGCATAAAAATGTGATGATCTATATTCATATTAGAACAAATAGATCCCAGACCAGAAGTAAAAATGATTATCATAATACTGAAGGGGTCATTTGATCAGTAACTCCAGTCAACAAAATGTGGAGCAGCAGAACCATGCATACAATATGCAGATTCATGAGAAATAATAATAGGTTTTTATTTGTTAAGTCTCTAAGTCAGTTGTTTGTTACAGATAGAGACAATTG</t>
  </si>
  <si>
    <t>ENST00000370621.7:c.2137+15506G&gt;T</t>
  </si>
  <si>
    <t>EYS:c.2259+3291G&gt;T</t>
  </si>
  <si>
    <t>TTTGAACCTGGTATGTGTATAGCTTTAAATTAACATTTTTATATTTACAGCATTTTCTTTTGATTGTATTGCAGCATCATGATGCTGAATTTAGATGAAAAGCAGAAAATAAGAAGACTTCAAATCCACAGTAGTAAGTGATTTGTAACAATGAGCCAGTTTTCTTCTTTTCCTTTCTTTATGGTTCAGTAAATCTAAGAAAACAATAGGAGGAAAAAATAATCTTTTGAAAGTCTAGCATATAATAAAATACAAATGTTAAGAATGTGT</t>
  </si>
  <si>
    <t>ENST00000370621.7:c.2259+3291G&gt;T</t>
  </si>
  <si>
    <t>EYS:c.2847-6060A&gt;G</t>
  </si>
  <si>
    <t>GCTAGTGCATTTAAAGAAAAAATAGAAGAAAATGTTCCAAGTGCCTGGCTGATGTGATTATCATAGCGAGATCATTACCAACAAGCATATTGTGACCATTCAGTTTGTGATGTTCACGGGTTTAGCAATTCTTCGCTGTTACAAATTTAAAAGTGATTGGTTAATATGCATTTAACCAAAAGACAAAAATCTGTTTACTCTTCTGTAATTGTTTGCCTAGAAACAGTCATCAATCCGAATGATGTTTATTCTACTAGAGAATTTACGATA</t>
  </si>
  <si>
    <t>ENST00000370621.7:c.2847-6060A&gt;G</t>
  </si>
  <si>
    <t>EYS:c.2993-16454del</t>
  </si>
  <si>
    <t>AAATGTATTAGAGTCACAGTACACAAAATCTGAAAGACCATGTAATGAAATTTTGGGTATTTTTGTTATAGTAAATTTTTAATAAAATTATTATGTAACTGGTAGGATCTATAAAAATTATATGTGGAATTGATATTATCTAATGACTAATGAAATTTATGTATCCAATCTAGCTTTTCAAAATGAAGTGATCGATTTTCATTGTATTTATAGTGAACTGCTCAAGCAAAAATTAATTCAGTATGATTGCTTTGGATCAATGCAGCAGAA</t>
  </si>
  <si>
    <t>ENST00000370621.7:c.2993-16454del</t>
  </si>
  <si>
    <t>EYS:c.3443+30585G&gt;A</t>
  </si>
  <si>
    <t>TAATTTAAACTATGGAAAGCCAAGCTCCAGATAAGAAAGGACTACTGTAATGTACTTGAATCGTAAATACTAAAAATACAAGTGCCCTAAAATGAACCAGTGATAAATTACTTAATGGTGAACAAAAAATATATATAATTGAGAACTGGCCTATTTTCATAACTTTAAACTATTCTTTTACATATGGACTTTAATGGCACATTTATTTCATCTTGAGATTAATATAATCAGATGCATTGGTTAAAACATACAAATAAACTAGGAGATAGA</t>
  </si>
  <si>
    <t>ENST00000370621.7:c.3443+30585G&gt;A</t>
  </si>
  <si>
    <t>EYS:c.3443+55570C&gt;A</t>
  </si>
  <si>
    <t>AACTTAGGCGGGCGCCTGTAGTCCCAGCTACTCAGGAGGCTGAGGCAGGAGAACGGCGTGAAGCCGGGAGGCGAAGCTTGCAGTGAGCCGAGATCGCGCCAGTGCACTTCTGCCTGGGCGACAGAGCGAGACTCAGTCTCAAACAAACAAACAAAACACACACACACACACACACACACACACACACACACACACACAAAGAAAAAAAGAAAAAAAATTAATCTTTTGTAGATGTAGCTGTGCAGTAAAAGAAGGAACAGAACAGGTGGA</t>
  </si>
  <si>
    <t>ENST00000370621.7:c.3443+55570C&gt;A</t>
  </si>
  <si>
    <t>EYS:c.3443+55751A&gt;T</t>
  </si>
  <si>
    <t>ACACACACACACACACAAAGAAAAAAAGAAAAAAAATTAATCTTTTGTAGATGTAGCTGTGCAGTAAAAGAAGGAACAGAACAGGTGGAGTGAGAAGACATAAAACCCACTTATTTACTGATTGATACAGTGGTTTAATATTCATTCTGTCAGTTAGGGGAGTGGGATAAAACCATTGGTTAAGCAGATGCATACATTTTAAATGATACAAATTAAGACGTGATAGCATAGTTTTTCTACCAAAATGTGTATTCTACTATTCACTCACAC</t>
  </si>
  <si>
    <t>ENST00000370621.7:c.3443+55751A&gt;T</t>
  </si>
  <si>
    <t>EYS:c.3443+68363T&gt;A</t>
  </si>
  <si>
    <t>AAATGTTTCAAAGAAAAAAATGAAACAGTTTTCTTTTTGAAATTGTGTGAAAATGTTATCAAATATGATGAGCGCACTCTGTCTTCCCATTAGGACAAACGAGGGCTGTAGGGTGCATGACACACTGTTTCCCCACATGCTGCTTATGAGAGTTTTAGAGAAGTAAGAAAATATACATAGAAATTTTTTCATAACTGTTCCAGAGTTTTTAATAACAAACATCTATTTCAAATAATTTGGCAATACTGAGAAGAAAAATCTTTCCAGTAT</t>
  </si>
  <si>
    <t>ENST00000370621.7:c.3443+68363T&gt;A</t>
  </si>
  <si>
    <t>EYS:c.3444-109T&gt;A</t>
  </si>
  <si>
    <t>TACTTAATTAAATCTGCAGAGACTCTATTTCCAAATAAATTCACATTCACAGATATTTAGTGTTAAGTATTAGACATACTGTTTTGGGGCCACAATTCAACTCATTGTCACCCCAAGGAAGGCTCCCAGCTACAAGTTGTTGGAGCTCTGAAAACACGTTTGAATGATGGAATCCCAAGATGAAAAGTGATAGTGCTCATGTGTATAATATATACAAATATCGTTTTCATTTTTTTTCCTTAGATGTCTTCCTGGATTTTCTGGTCAATT</t>
  </si>
  <si>
    <t>ENST00000370621.7:c.3444-109T&gt;A</t>
  </si>
  <si>
    <t>EYS:c.3444-36848G&gt;T</t>
  </si>
  <si>
    <t>TGTTTTACAAGCATACATAATTATTGTTGTCAGTGGATTTTGAATTTTTAGCAAAATTGTTATCAAGATAACTAGTAACATTGGGAAGTCTAATTCTATTATTTTTTAGGAAAATCATCAATTCGCTAAGCTCTTATTAACTCTTACAGATTTTTAAAAATCTAGCCCTCTTCAATAAAAAGCTATTTTCTTGAATACATTCCTATTCAAAGATCTGCAACTTTATGTAATTTCTGACCTGAATTGCACAGATACTTGGTAGTTGTGTGT</t>
  </si>
  <si>
    <t>ENST00000370621.7:c.3444-36848G&gt;T</t>
  </si>
  <si>
    <t>EYS:c.3444-40349T&gt;C</t>
  </si>
  <si>
    <t>AACTAAGTGGCCACTGAAAATATAGATCTAGTTTAATGAGAGCAGTTAGGACTGGAAACACAAGTTAGTAGTCATTGTCATATCAGTTATAAATAACATTGATTTCTGGTTGGTATTATTTAGCAATAATTTAACGAAAAGAAGACAACAGACATTACAGCCCAAAGAAACAGTAACATTTAAGAAGTGTGTGATTGAAGTTGACACAGTGAAAGTAAATAAACAAGTAGCAAAAGATTGGAATGGGAATGTCATGGGAACTAGGGGAGA</t>
  </si>
  <si>
    <t>ENST00000370621.7:c.3444-40349T&gt;C</t>
  </si>
  <si>
    <t>EYS:c.3444-5836G&gt;T</t>
  </si>
  <si>
    <t>TTGTATGAAGTCATTTACATATCTGATACTTTTCAACTATTCTAACTTGAGAAATCTTGGCTTCAGTGAAGTTTATAAATAAACACTCAGCTTCTGAGCATTTAGAGTTAATATTTTAAAGTTGATGCTTTGCATATATAAAAAGTCATAACATCGTTCCTTCCTTGACAATTATTAAACTACATCCTATCAATTATATTATCAAAGCCCAGCAAATGGGATATTAGAAATTATAAATGTAATATAAATAGAATATAAATTTAATTGTTT</t>
  </si>
  <si>
    <t>ENST00000370621.7:c.3444-5836G&gt;T</t>
  </si>
  <si>
    <t>EYS:c.3444-7431A&gt;G</t>
  </si>
  <si>
    <t>TGTGGCTATTGGTCAAGGCTCCAGTTCTTTTCCACATGGGCCTCTTTATAGTGATACATGAGTTTCTTTATGATAGACTGTCTAGCTTGCCTGCACAAGAGATCCAAACAGAGTAGGAGGAAGCCAACTTTCCAGTGATGGGGGTTAAAAGGGGGCTTAGGCTCCATTTTTTTTTTTTTTTTTTGCTGAGAAAAGTATGAAAGAATGTGAAAACTACTGCAGTCAGACTGAGTCCCAGTTGCTCAATGTGACAAACTGCTAAATAATGCA</t>
  </si>
  <si>
    <t>ENST00000370621.7:c.3444-7431A&gt;G</t>
  </si>
  <si>
    <t>EYS:c.3684+886C&gt;A</t>
  </si>
  <si>
    <t>GAAGGGAAGTGTAAATGGAGCTAGAAACTCCTTCTCAGAAGTGAAAGATCAGAAAGGAAAAACCAGAACCAAGAGTCTCTAGACGAGGTTAAGGAATTACATAGAAAAAAATAATCAATAACTGTCACGGAACAAAAGATTTTGAAAAATCAATTGTAGAAGGACCTGGGCTTAAGTCCAATGCTGTTCCCTCTTAAAGGATATTCCCAGGGCTCATCTGTTTTGGAGGGATATGAATGAGCTCAAACAGATATCTTCCTTTCTCTGAGA</t>
  </si>
  <si>
    <t>ENST00000370621.7:c.3684+886C&gt;A</t>
  </si>
  <si>
    <t>EYS:c.5644+21178G&gt;T</t>
  </si>
  <si>
    <t>ACCCACCTTCCGAAGGCTACTTCTGTCAGTTCATCTAAGTCATTCTCCGTCAGTTTTGTGACCTTCCTGGCAAGGAGTTCTGATCCTTTGGAGAACAGGAGTTCTGGTTTTTGGATTTTCAGCCTTTTTTTGCTTTTTTTTTTTTTTTTTTTTCTTTTCCATCTTTGTGGATTTGTCTACCCTTAGTCTTTGATGCTGGTGACCTTTGGATGGGGTTTCTGTGTGGGCGTCCTTTTTGTTGATGTTGATGCTATTCCTTTCTGTTTGTTA</t>
  </si>
  <si>
    <t>ENST00000370621.7:c.5644+21178G&gt;T</t>
  </si>
  <si>
    <t>EYS:c.5644+35828A&gt;C</t>
  </si>
  <si>
    <t>TGTATATTAACCATGCAAGGTCTTTTGTTTTTTAGGGTTGGAATTATCTACTTATTAATAATTATCTAATTTGTCATTGTTATTCAGCATTTTTAGTGTAAGCTTGATATAGTCATGCCCCTTCTTCTATACCTCATTGACTCATTTCTTCACCCCAGGAGACACATATCCTTTTTCTTCAAATTGAAAATGAAACAAATTGGAATACTATCAGCATTTTCCACTTTATACATTTTAGTATTTAGAGTTATTTCTATGGTATAGCAGAAA</t>
  </si>
  <si>
    <t>ENST00000370621.7:c.5644+35828A&gt;C</t>
  </si>
  <si>
    <t>EYS:c.5644+46107A&gt;G</t>
  </si>
  <si>
    <t>CAACTTATTCCAAATTGTATTCTCTTAGCGAGTGTACAGGTTAAAAAGAAAAATTCTCAAATCGAGTAGAAGGCTGTGGTTTTGTCTGAGAAACCCAAATGGCAGTAAGCTGCAAGAGTTATAGGGACTGGTGAGCCATCCAAAACAACTCAAACTGTTAAGTGATTGGAGTTAACAGTATTTTAAAACCCGTTTTGTAGATAATAATTCCTAAGAAATATGTTTTATACATCCAACATATTCTTTCTATGAATAAGAAATTAAATAATC</t>
  </si>
  <si>
    <t>ENST00000370621.7:c.5644+46107A&gt;G</t>
  </si>
  <si>
    <t>EYS:c.5644+52733T&gt;A</t>
  </si>
  <si>
    <t>GTCTAATAAGTAACTTTGAGCAGCTATAGAAGGCAAAGTTAAATATTAGGGCGATAAATTTTGAGAGAAAAGCCATATGAATAAAAATATATGTTTTACTGTCAAAGAAATAGGAATCAACAAAATGGACTTTTAAAAAAGTCAGAATGTATTGATTTATCCATGTGTTCAACAAAATAAATTTTACAAGACTTGGAACCAACCCAAATGTCCAACAATGGTAGACTGGATTAAGAAAATGTGGCACATATACACCATGGAATACTATGC</t>
  </si>
  <si>
    <t>ENST00000370621.7:c.5644+52733T&gt;A</t>
  </si>
  <si>
    <t>EYS:c.5645-28568G&gt;A</t>
  </si>
  <si>
    <t>GCTTGCTTGGGTGCTGGCAGTGGCAGTGGTGGGTTGAGTGCATGAATTAGTCCCTTGACCCCCAAGTAGTATACATGTTGTTAATGGTGGTAGTAGCAGATGCCGGCCAACCCTGAAGCCCATGAGTGGCAGCAATGTCATTAACAGGCTGGACAGGCCAATCCCCAAACCCCTTGAGTGGCATATGCAGATGGGTGCCAGCAGTGGCAGTGGCAAGCTGAGTAGGCTGATCCCTGGGTCCCCAAAAGGTGCATGCAGGTGCCAGCTGTG</t>
  </si>
  <si>
    <t>ENST00000370621.7:c.5645-28568G&gt;A</t>
  </si>
  <si>
    <t>EYS:c.6078+1897G&gt;A</t>
  </si>
  <si>
    <t>GGAATTGTCATCATGCTATGTTCACTCTGATAGCAACCAAAGTGTACAACTGGAGGGGTTAGGACTACATCGTAAGAAATGGCAAAGTCAGGTTTGTTCAGAATAATTAAACAAAAAAGGTATTTTGGCAATAAAGGTGGGAGAATAATTATGAATGCTATTGAACTTAAAAATAATTATTGGCAAAAAATATATAGAAAATTTGGAATTTTAATGACCAGGTTGGCTTATGTAACCATAGAATTTATAGTCCCATTCTCAAAATGGGGA</t>
  </si>
  <si>
    <t>ENST00000370621.7:c.6078+1897G&gt;A</t>
  </si>
  <si>
    <t>VPS13B:c.8016+101G&gt;A</t>
  </si>
  <si>
    <t>CCAGTACAGCTGGCGCTCTCACAAATCCCCACAGGTATTTGAGAAACACCCTTACAAACAGCCATTGTTAAGGTTGGGGATTCATTTCTTCTGCACTTGTGTGCCTGTCCAGTTATTTCCCTTTTTAAGTCTCCAAAGGAACCACACAGCGTAGCTACATCTGACGGAAACCCAAGAGTGTTTAGAGATGGGAGCACACGCTTCTCTTGGAATGGAGCATTTTCCTGTTTAGCACTGGTGCTTGGGGCGGGGGCAGCAGGGTGTGGTGAT</t>
  </si>
  <si>
    <t>ENST00000358544.6:c.8016+101G&gt;A</t>
  </si>
  <si>
    <t>EYS:c.6424+74144A&gt;C</t>
  </si>
  <si>
    <t>GTTCCAAACTTTCCACATTTTCCTATCTTCTTCTGAGCCATCCAAACTGTTGCAACCTCTGCCTCTTACCTAGTTCCGAAGTCATTTCCACATTTTCAGGTATCTTTTCAGCAACACTCCCACTTCTAGTACCACTTTACTGTATTAGTTCCTTTTCACATTGCTGATAAAGACATACTCAAGACTGGGGGAAAAAAAGAGGTTTAATTGGACTTACAGTTCCACATGACTGGGGAGGCCTCAGAATCACAGTGGGAGGTGAAAGGCACT</t>
  </si>
  <si>
    <t>ENST00000370621.7:c.6424+74144A&gt;C</t>
  </si>
  <si>
    <t>EYS:c.6571+2337C&gt;T</t>
  </si>
  <si>
    <t>TGGCACATGTATACATATGTAACAAACCTGCATGTTGTGCACATGTACCCTAGAACTTAAGGTATAATAAAATAATAAAAAAATAAAAAATAAAAAACAATTATCCCCTTTGGGGCAACTTATTATTTCCCAAATGATTTGCTCCTCTACTTTGAAACAGTTTGCTAAATTGATTCATCATTCTACACTTTCTAAACAAAATACATAAAAGATTTTATTATTTGACTACGAGTAAAATGCCTAAAAGAAGCATTTAGGAAAGCCAGGTGA</t>
  </si>
  <si>
    <t>ENST00000370621.7:c.6571+2337C&gt;T</t>
  </si>
  <si>
    <t>EYS:c.6726-12219C&gt;T</t>
  </si>
  <si>
    <t>GACAGATGCATTCAAATGCCTATAGCACAAAACAAACCTGAGATAGAAAAGCCAAAGAAATTAGTCCTTCCAAATTTAAAGACTGCAAAATCATGAAGGCACTTCCAAATGGCTTGGTTAACTTTTTTTTCATCTTACCTCTCACAAATTAAAGACAATTTTCTATGTACATGTCCCTTCAAAGGCAAGAACTTAGTTTGATCTTTCATTTTTGTGTTTTCTCATAATAAAAAAAGAAAATGGGGGATTTCGGGTCAAGATGACTCTGTA</t>
  </si>
  <si>
    <t>ENST00000370621.7:c.6726-12219C&gt;T</t>
  </si>
  <si>
    <t>EYS:c.7055+43745T&gt;C</t>
  </si>
  <si>
    <t>ACACCAACATGGCACATTTATACATATGTAACAAACCTGCACATTGTACACATGTACCCTAGAAGTTAAAGTATGATTAAAAAAAAAAAGAGGAAAAAAAAACGTATTCAGGCAGATATCCTTTCTCCTCAATGACTTTCTTAATGGCATCTGCGAACTCATCAGAAGAAGCTACTCCTCCTGTTATCCTGATGTTTTTTAAGCCATACTACATTCTAAAATCAACAAACCATCCTTTGCTGGCATTAAATTCTCCAGCTTTAGATCCAT</t>
  </si>
  <si>
    <t>ENST00000370621.7:c.7055+43745T&gt;C</t>
  </si>
  <si>
    <t>EYS:c.7228+12001G&gt;T</t>
  </si>
  <si>
    <t>TTTCTGTGGGATCAGTGGTGATCTCCCCTTTCTCATTTTTTATTGTGTATATTTGATTCTTCTCCCTTTTCTTATTAGTCTGGCTAGGGTTCTATTTTGTTAATATTTTCAAAAAACCAGCTCCTCAATTCATTTATTTTTTTTTTTTTTTTTTTTTTTTTTTGAGACAGAGTCTCGCTCTGTCGCCCAGGCTGGAGTGCAGTGGCGGGATCTCGGCTCACTGCAAGCTCCGCCTCCCGGGTTCACGCCATTCTCCTGCCTCAGCCTCCC</t>
  </si>
  <si>
    <t>ENST00000370621.7:c.7228+12001G&gt;T</t>
  </si>
  <si>
    <t>EYS:c.7228+13959T&gt;A</t>
  </si>
  <si>
    <t>TGGTGTTGCTCTTCTCAATGACTATCTTATTGGTGTTCTCTGTATTTCCTGAATTTGAATGTTGGCCTGTCTTGCTAGATTGGGGAAGTTCTCCTGGATAATATCCTGAAGTGTGTTTTCCAACTTGGTTCCATACTTTCTGTCACTTTCAGATACACCAATCAATCATAGGTTTGGTCTTTTCCCATTGTCTCATATTTCTTGGAGGCTCTGTTTGTTCCTTTTCATTCTTTTTTCTCTAATCTTGTTTTCATGCTTTATTTCATTAAG</t>
  </si>
  <si>
    <t>ENST00000370621.7:c.7228+13959T&gt;A</t>
  </si>
  <si>
    <t>EYS:c.7228+27601_7228+27604del</t>
  </si>
  <si>
    <t>GGTGCAAAAGGAATTGCCATTTTAATGCCAAAAAATTTTTTTTAATATTTTAAAAATCTGTACTCTTTTATAAATGTTCCTTAGTTTCTTCCCATACCATATGATTTTTTACATAGATATATTTGATATTTTCTACTTTTTAGAACAATGACTTTTTCTACCGCTGACCATTAATTTCTAATAGACAAAGTTTATTATGCTCACTTTTTTCCTTCTGTTTCTAACATTAAACTAATATTGAATTTTTTTTAACAATTCCATGCTCCTAGA</t>
  </si>
  <si>
    <t>ENST00000370621.7:c.7228+27601_7228+27604del</t>
  </si>
  <si>
    <t>EYS:c.863-25492C&gt;T</t>
  </si>
  <si>
    <t>CTCAAGAAGGATGTTTTTCCCCCATGGCCACCAAGGTTGGTAATGTGCTGCATCTCACCTGAGGACAGCAAGTCTCAGAGGCTCACCCAAGGCCCTCCACATAGCACCTGGGTATTACTGCTGGTTTTTCAGGATGCAAGGGCTCTTCAGTTAGCAGGTAATGAATGCTGCCAGGACTGGATCCTTTCCTGCAAGTCAGCAGGTTCCTTTCTGGCCCAGGATGTGCCTAGAAATGCCATCTGGCAGCTAGGGCCTGGAACAGGGGCCTCA</t>
  </si>
  <si>
    <t>ENST00000370621.7:c.863-25492C&gt;T</t>
  </si>
  <si>
    <t>WDR19:c.1480-1304G&gt;T</t>
  </si>
  <si>
    <t>TCAGCCTCCTGAGTAGCTGGGATTACAGGCACACGCCACCACGCCCAGCAAATTTTTGTATTTTTAGTAGAGACGGGGTTTCACCATGTTTTAGTAGAGATGGGGTCAGGCTGGTCTGGAACTCCTGACCTCGTTATCCACCCACTTCGGCCTCCCAATGTGCTGGGATTCCAGGCATGAGCCACCACGCCTGGCCAAATACAGGCATCTTTAAAACAGGAAAAAGAATCAGTTGAACATATCTGTCTCTATTTCAGGCTTCCATTGATC</t>
  </si>
  <si>
    <t>ENST00000399820.7:c.1480-1304G&gt;T</t>
  </si>
  <si>
    <t>OGI499_001027</t>
  </si>
  <si>
    <t>MERTK:c.61+8742A&gt;G</t>
  </si>
  <si>
    <t>AACTCCGTATCAAAAAAAAGAGTGATGCTAGTGGGTTCTTTGCTGTTGACAGTTGCCATTCCCTGCCACCTGGGCTGTCTGTTCCTCCAGTAAGTACCCCCTCCAACTCTGGGGCAATAGAATAGTCTGGAAACGTGGAGGTATATTTCTGAGAATATTGGATCTCCCCAAACACATATGACCTCTTCCTGCTAAATCTTCTGAGAGACAGAGGGATGGACTAAGCTTTTTCCGGGGTGGATGGAGTGGGGCATATCCCCCCTGAGGGGG</t>
  </si>
  <si>
    <t>ENST00000295408:c.61+8742A&gt;G</t>
  </si>
  <si>
    <t>OGI510_001050</t>
  </si>
  <si>
    <t xml:space="preserve">CNGA1:c.1-1534A&gt;T </t>
  </si>
  <si>
    <t>ATAATGCTTGACACCTAGTAGGCATTTCTTAAATATGTGTTAAATGTTGAATGAATTAAAGAACCCAACTCAAAAAAGCAGACCAAGAATATAAACATGTAATTCACAGAGAATAAATCCAAATGATTAATAAACtCATGAGAGTTTGTCTAACTTCACTAGTAAATGTGAATCAAAAACTGTAGGGTAAAAAATGCTCACCCATCGGATTGAGGAAAACTTTTAAATCTGACAATATTAAATGTTGGTCAGGGTATGGGAAAAAATGAT</t>
  </si>
  <si>
    <t xml:space="preserve">ENST00000420489.6:c.1-1534A&gt;T </t>
  </si>
  <si>
    <t xml:space="preserve">OGI595_001228 </t>
  </si>
  <si>
    <t>CEP83:c.1811+1326T&gt;A</t>
  </si>
  <si>
    <t>TTTTTCCTAAAGTTGTGTAGCTTCACCTTTGTGATTACCTTTTATAATAGGAAAAACCAGTGTTTTTCCTATTCTCACACAGTCAACACAACATTTCTGACACCAGATGTTTGGGGTTTTTTCCTATACATGGAGAAATCAGTTTTCCAGTGGACACGAGCTAGGTGTCCTGTAATTCAGGTCTGATCCTGTCTACCTGGATTTAGCATCAGATCCCACAGGTAGAGGGCTCAGTCCCACAAGACTGCCCCCCACTTCAGAATGCAGCCA</t>
  </si>
  <si>
    <t>ENST00000397809.9:c.1811+1326T&gt;A</t>
  </si>
  <si>
    <t>PDE6B:c.1614+710C&gt;G</t>
  </si>
  <si>
    <t>GCAGATGGATGGTGAATGGATAGATTTAAAGTTTTATTATTAGGAGTTCCAAGCAATTTGATCATTAGGCACATCATCTGGCAATAACAGGGGATTTGGTGTGGGGTGCTGAGGAGATAGAAGCATCCCATCACGTAAACAGAAAGCACAAAGTGGCCCCCCTGGTTTGGCCACAGCAGCACTCCTCGGAGACCCCCTGGGGAGGCGGGATGGCTTTCCCAGCCCTCGTCCACAGCTCTGTGCCCTCCCTGGGTTCTCCTGCCCTGCCCT</t>
  </si>
  <si>
    <t>ENST00000496514.5:c.1614+710C&gt;G</t>
  </si>
  <si>
    <t>PDE6B:c.1921-125G&gt;C</t>
  </si>
  <si>
    <t>CTCAGTGGACCCCTCCCTGCGCTCCCCGGTGGTGACCTCTGAGGCCATCTGCGTCCCAAGCCGACGATGGAGCCGCTGGTGGAGAGCTGGGCACCCTGAGGAGGGCCCTGAGCAGCAGGCGGATTAGGGGTCCCCCCCACCGAGGGCCCGAGGGCGGGGGCGTGAGAGGCACAGGCAGCCGAGGCGGAAGGGGCGGGGTCCCCGGGCACCCTGAGAGGTGGCCGCAGGGCGCCTGACGCGCTGGGCATAACCTCCGCAGACCCTGAACAT</t>
  </si>
  <si>
    <t>ENST00000496514.5:c.1921-125G&gt;C</t>
  </si>
  <si>
    <t>PLK4:c.2563-363A&gt;T</t>
  </si>
  <si>
    <t>CTGAACTTGTGATCCACCTGCCTCGGCCTCCCAAAGTGCTGGGATTACAGGCGTGAGCCACCACGCCTGGCTAGTTGTTTTATTTTTACTAGTAAAATATCATTAACTGCCTAAATGCTCATGATAGACTCATGTTTAAATTTATTATATATTTAATGAACATGGCGATGAAGATTATATAGCAGTGTAGAAAAATGCAACATTAAAGAAATAGGTGTGTATATTTGTGTGTACTCACCCACATACACAAAAAGAACATGCCATGGGATA</t>
  </si>
  <si>
    <t>ENST00000270861:c.2563-363A&gt;T</t>
  </si>
  <si>
    <t>OGI923 and OGI1240_002401</t>
  </si>
  <si>
    <t>CERKL:c.238+26083C&gt;T</t>
  </si>
  <si>
    <t>AAAGTAGAAATTAAAACTGAAGATAAGTCAAGGCAGGATAGTATAGGAGTCTGCTACAGCTGCCATAGCAAAATACTACAGCCTGGGAGGCTTGAACAGAAATTTATCTTCTCACAGTTCTTGAGGCTAGAAGTCTAAAATCAAGGTGCCATTGGGGTTGGTTTCTGAAGAGGGTTCTCTTCCTGGCTTTCAGGTGGCCACCTTCATACAGCATCCTCACGTGGCCTTTTCTTTTTGCCTGCATGGATAGAGATCTCTGGTGTCTTCCTT</t>
  </si>
  <si>
    <t>ENST00000339098:c.238+26083C&gt;T</t>
  </si>
  <si>
    <t>VPS13B:c.938-1504A&gt;T</t>
  </si>
  <si>
    <t>ATGAGCCAGTGGGCCCAACAGGGTTTGCACCTTATATAAAACTTATTCTGAACTACAATGGCTTAAGTGTCTTGGTACTGTTATTTTAGTTACTCTAGTTAATTCTTATTAAGCCTTTTCCTTCTCAGGTGAAAGtAGGTAAACATTCATAACCTATAAATGTAGAATGTTCCAAGAGTCTCCTGTCATAAGAGTTTAAAAAGTTATAAAGCTTTTTGAGTAAGAAAACCTGTAAGGATGTTATTTAAAGATTTAAAGGAGTATGTGTAT</t>
  </si>
  <si>
    <t>ENST00000358544.6:c.938-1504A&gt;T</t>
  </si>
  <si>
    <t>OGI959-001928</t>
  </si>
  <si>
    <t>ADGRV1:c.17856+32332A&gt;G</t>
  </si>
  <si>
    <t>CTAACTGGATTTCACTGTAGTTGAAAATATAAATTGTTGGATTGTGTCATTGTTAAACTGTGATAAATTAATTTAAATGCAATAGATCTGAAGTTTCTTCCTCAGAAATTTCAGTTTAAGGAAATTTATCTCTTTgTGTTTGTTGGTCTTACAAATTTATTCTGAAATAATCAGATTTTAAAATAAATAAATCTGATATTACGGTGACCAGTGGTTTTTTTTTTTTTTTTTTTTTGAGACAGAGTCTTGCTCTGTCTCTGGGGCTGGAGT</t>
  </si>
  <si>
    <t>ENST00000405460.8:c.17856+32332A&gt;G</t>
  </si>
  <si>
    <t>ADGRV1:c.17856+38899A&gt;G</t>
  </si>
  <si>
    <t>TGTGCAATTAGGTTCTAAATAAATCATTTTTAAGCGATGATAACATTTTGATTCCAACGTAGTGGCTGTATTTGATAAGAACTTTAATCACATTTTCTCCAGTAATTAGGCTCTTTTTGGCTGACATTTAAAGTGgTGGAATGGTATCTTTAGAACATCTGGATTTTTCAGAAGGCAGCTTCTGCTTTTAGTTTTCAAGTGTTGGCCTCTTTACCACGCTGAGTTCACAAGTTCTCCATTTATGACGGCATCATGCCTTTGCCATTCTGC</t>
  </si>
  <si>
    <t>ENST00000405460.8:c.17856+38899A&gt;G</t>
  </si>
  <si>
    <t>ADGRV1:c.17857-12157C&gt;G</t>
  </si>
  <si>
    <t>AACTCATGATAGCCCTTGTTTGAGTTTCAGAAGTTTTCGTAAAGCAGCATAATGGCAGCAGAGAATAGCAAAAAGAGAACTGAGCTGAGGTCAGGTAAGCCCAATGCAAGTTTTGTCATTGGTTAGCTGTCAGACgTTTGTTACCTTTGCTATCACACAGGGACAATAACATTATAAGACTATTATAGGGATTAAAATGAAATAACCTATCTGTAGAAATCACAGAAAGCCTACCACACTGTAAGAATACAATAAATGTTGATTACTTCC</t>
  </si>
  <si>
    <t>ENST00000405460.8:c.17857-12157C&gt;G</t>
  </si>
  <si>
    <t>ADGRV1:c.17857-31957C&gt;A</t>
  </si>
  <si>
    <t>TATTTTATATAGGGATGCCAAGGAAAATGTATCTGAGAAGATACTATTTGAGCAGAGATCTGAGGGAAATGAGGAAGAAAGCTATGCATGTAGCTGGGGGATACATTCCAGATAAAAGGGCAAAGCAAATATAGTaCTGAGGTTTATTTTAAGGGCAGTAAGTGAGTCTGGTTCTGGAATGTGAGGGGGAGTGGTGGGAGATGAAGTTAGTGAGATGTGCCAGGACCTAGTAGAATTTTTCTCCAAATGAGATAGAAAGTCACTGGCAGG</t>
  </si>
  <si>
    <t>ENST00000405460.8:c.17857-31957C&gt;A</t>
  </si>
  <si>
    <t>ADGRV1:c.17974-118C&gt;T</t>
  </si>
  <si>
    <t>GGCAAATAAAAAATACAGCAAATCAACTAAATATTTCCCTGTGTTTCCAGAATTTTGAGGTATCCTGAATTTCTTGGATAAGAATGAAATTGTTATGAAAGAATGAATGTATGAACTAACTTAAAAAAATCAAAAtTAATTATTAAGTAGATCCTGGCCTTTTGTTGGTCGGTAACATTGCCTAAGCCAGTAGAGTTTGTGTTCTGTGCCATTAAAGAAGAGCCTGTTCATTTTATGTTGTTTTCTTCCTTAGTCTGTGAATTTCTGGTA</t>
  </si>
  <si>
    <t>ENST00000405460.8:c.17974-118C&gt;T</t>
  </si>
  <si>
    <t>ADGRV1:c.18152+9738T&gt;A</t>
  </si>
  <si>
    <t>TCTTTTAAGCTTTTGAGGTTTTTTGCTCCATTGTTGTTATCCACTGGCTCAGATAGCCATGATGTTAAATCACTTGCTTTTAGTTGTTTTTAACAAGTAACTTCCTGTCTCCTTACCCTATACCCAAGGAATAGAaTTTTTGCATTGGCTGAACTCTGAGATACGTGAAATACAGAAAGCCTTGCAAGTTGGGATTTTCTTTGGGACTGAAGCTTTGAAAGAGCTCCAGCTTCATTTTGCTCCCCAAACCTCCTCCCCTATGGGTGCCAG</t>
  </si>
  <si>
    <t>ENST00000405460.8:c.18152+9738T&gt;A</t>
  </si>
  <si>
    <t>ADGRV1:c.18153-30083A&gt;G</t>
  </si>
  <si>
    <t>TAAATAATAAAAACAATCAAGGTGTCATAATGGTGGGAGTCACCAGCAATGGTAATGAATTATAATAAATATCACAGTACAGTTGATATATTAAAAACAACAGCTTTCTTACAGCCACCAAGTAAACTGTTTTATgTCATTTACAGCTAGGCCAGAGTTGTCCCTTGGACATAAGGAGACATGCCTACCTTGGATGTTCAAACAAATGTTATATTGCCTAAGCAGGATATGTTCAAGGTTTTAGCCAATCACATTGCAGACAGCTATCTT</t>
  </si>
  <si>
    <t>ENST00000405460.8:c.18153-30083A&gt;G</t>
  </si>
  <si>
    <t>ADGRV1:c.18310+8008C&gt;A</t>
  </si>
  <si>
    <t>TTTCAAAACTCTTCTTGGTAATAGTGACATGTAAACATTAAATTTTAAACTTAGAGAACTCTAATTTCATAAAAGTAGTATTAGACTTTACACCCAGCTCCGCACACCCTGCAAAAAAAAAAAAAAAAAAAAAAAaTTGAAGTGATCAGGGTTGGAAAATTACTCCTTCATCTTCTACTTAATCTTCTGATTTCCAAGAAAGATTGCCCCTCTTTATGGTACCAAAACATCCCTAGTTTTCCTCACTATTCTCATATGTAATGCAGGTGT</t>
  </si>
  <si>
    <t>ENST00000405460.8:c.18310+8008C&gt;A</t>
  </si>
  <si>
    <t>ADGRV1:c.18310+8011G&gt;T</t>
  </si>
  <si>
    <t>CAAAACTCTTCTTGGTAATAGTGACATGTAAACATTAAATTTTAAACTTAGAGAACTCTAATTTCATAAAAGTAGTATTAGACTTTACACCCAGCTCCGCACACCCTGCAAAAAAAAAAAAAAAAAAAAAAACTTtAAGTGATCAGGGTTGGAAAATTACTCCTTCATCTTCTACTTAATCTTCTGATTTCCAAGAAAGATTGCCCCTCTTTATGGTACCAAAACATCCCTAGTTTTCCTCACTATTCTCATATGTAATGCAGGTGTAAT</t>
  </si>
  <si>
    <t>ENST00000405460.8:c.18310+8011G&gt;T</t>
  </si>
  <si>
    <t>ADGRV1:c.18311-664G&gt;A</t>
  </si>
  <si>
    <t>TGTCTTTCAACAGCTTGAAAATGTGTTTATTTGTGGCTGCAAAGATCCGATTCACTTTCTAAATCTTATATAACTTGTCACTTAAATATTAAGATCGCCTCTATATGGTTATTATTCTAAAACTCAGATAGCAAAaAAAACTCAAAATAGACAAGTGGAAAGGGTAATAAAGTCCCTTGGCCCTGAGAAAATCTATTCTGAAAACGTCTGAAACAAACTGCATTAGAACATGTGTAGAATAAGTTTAGTTGATCATTATGAATCAGTCAC</t>
  </si>
  <si>
    <t>ENST00000405460.8:c.18311-664G&gt;A</t>
  </si>
  <si>
    <t>ADGRV1:c.18433-12714C&gt;A</t>
  </si>
  <si>
    <t>GCTCAAACGATCCTCCTGCCTCAGCCTCCCAAAGTACTGAGAATACAAGCTTGAGCCACTGTACCCAGCCCTTTGTTTTCCATTCGACTTTCATCACAAGATGGGTGACACAGGACCTCACCTAAAACTTACTTGaTCTTGATAAAGTTGAAAATTTTCTGTTGGGAAAGTAATTCGGGAGTGTGGACCCACATCATGGCAGGCATTCTAGGCCACAGGACTTAACTGTGTTCATATGCCTCATATTTTTAACTGCCTCATATTGTAACT</t>
  </si>
  <si>
    <t>ENST00000405460.8:c.18433-12714C&gt;A</t>
  </si>
  <si>
    <t>ADGRV1:c.18433-21058A&gt;G</t>
  </si>
  <si>
    <t>TTCACTGGGAAATAAATGCTCTTTTTAAGTTCCTGGAGGATTATTATAGAATACAGTGAGGCAAAGATTCTTTAATGTTGGAAAAATGAAACAGTACCTCTGTAATTAAAGCCAAAAGCCGTAGTGTAAATGAGGgAAAATGGTAATCAGCCTAAGCTAGGAAAAACCTCGGTTCAAAATACTTAATTTTCTCTGTTCTAAGAAATCAATGCATACTTGTGGGTGTTTTAAGATCAAAATGATTTAGAATGTTTTCCTATGGCATTTATG</t>
  </si>
  <si>
    <t>ENST00000405460.8:c.18433-21058A&gt;G</t>
  </si>
  <si>
    <t>ADGRV1:c.9748+1378G&gt;A</t>
  </si>
  <si>
    <t>GATGGAATTCCAAAAAAGAATAGATGTATTTTAGTAAGGGGAGTAAAATAAATGTGGTTTAACACATTTTGAATTTGAGTTACTTTTGAGAATAAATTTCTCTAGACTCAAAAGAAGGTCTCTGCTGGGCCGGGCaCGGTGGTTCATGCCTGTAATCCCAGCAGTTTGGGAGGCCGAGGTGGGCGGATCACCTGGGGTCGGGAGTTTCAGACCAGCCTGACCCACACGGAGAAACCCCATCTCTACTAAAAATACAAAAAAAATTAGCCG</t>
  </si>
  <si>
    <t>ENST00000405460.8:c.9748+1378G&gt;A</t>
  </si>
  <si>
    <t>EYS:c.2847-2597T&gt;C</t>
  </si>
  <si>
    <t>TGAAATCTTCACAATCCACGTTCTTCTGTCATGGCTTCAGTCGGTCCCTCCATTTGGGGTCCCTGACTTCCCGCAACAATAACATTTAGTAAAAACTAACAAAGGGTTCAAAAGGCAAAATTCAGAAGGAAATCACAATTGAAAAAACAAGAATTATGGGTAGGTGTCAGAATCTGAATCCTTTCATGTATCTTCAAGATAACTATACAGACAAAAAAAAATTAATACTCAGCAAAACCCACATCTTCATCATGACAAAAAGACATTTCA</t>
  </si>
  <si>
    <t>ENST00000370621.7:c.2847-2597T&gt;C</t>
  </si>
  <si>
    <t>oligo mutant centered sequence</t>
  </si>
  <si>
    <t>VCF</t>
  </si>
  <si>
    <t>Gene</t>
  </si>
  <si>
    <t>1-94075406-C-A</t>
  </si>
  <si>
    <t>ABCA4</t>
  </si>
  <si>
    <t>1-94074470-A-G</t>
  </si>
  <si>
    <t>1-94111981-T-C</t>
  </si>
  <si>
    <t>1-94060126-TC-T</t>
  </si>
  <si>
    <t>1-94059539-A-G</t>
  </si>
  <si>
    <t>1-94050984-G-C</t>
  </si>
  <si>
    <t>1-94050975-C-T</t>
  </si>
  <si>
    <t>1-94049288-C-T</t>
  </si>
  <si>
    <t>1-94049290-C-T</t>
  </si>
  <si>
    <t>1-94046566-T-G</t>
  </si>
  <si>
    <t>1-94042116-A-G</t>
  </si>
  <si>
    <t>1-94040287-G-T</t>
  </si>
  <si>
    <t>1-94038815-G-A</t>
  </si>
  <si>
    <t>1-94035176-T-C</t>
  </si>
  <si>
    <t>1-94103588-C-CGAGGG</t>
  </si>
  <si>
    <t>1-94027952-C-A</t>
  </si>
  <si>
    <t>1-94019971-T-C</t>
  </si>
  <si>
    <t>1-94012459-A-C</t>
  </si>
  <si>
    <t>1-94011976-A-T</t>
  </si>
  <si>
    <t>1-94008011-AAAT-A</t>
  </si>
  <si>
    <t>1-94005663-C-T</t>
  </si>
  <si>
    <t>1-93998928-T-G</t>
  </si>
  <si>
    <t>1-94117794-G-A</t>
  </si>
  <si>
    <t>1-94115269-C-T</t>
  </si>
  <si>
    <t>1-94116845-A-C</t>
  </si>
  <si>
    <t>1-93997418-T-C</t>
  </si>
  <si>
    <t>1-93994351-G-GT</t>
  </si>
  <si>
    <t>1-94097229-C-T</t>
  </si>
  <si>
    <t>1-94091465-T-C</t>
  </si>
  <si>
    <t>22-41469782-T-C</t>
  </si>
  <si>
    <t>ACO2</t>
  </si>
  <si>
    <t>22-41512924-C-A</t>
  </si>
  <si>
    <t>5-90728978-C-A</t>
  </si>
  <si>
    <t>ADGRV1</t>
  </si>
  <si>
    <t>5-90737800-T-G</t>
  </si>
  <si>
    <t>5-90779420-A-T</t>
  </si>
  <si>
    <t>5-90797750-G-A</t>
  </si>
  <si>
    <t>5-90803447-GCTGTTAT-G</t>
  </si>
  <si>
    <t>5-90813133-A-C</t>
  </si>
  <si>
    <t>5-90813135-A-ATC</t>
  </si>
  <si>
    <t>5-90825260-T-C</t>
  </si>
  <si>
    <t>5-90829307-T-G</t>
  </si>
  <si>
    <t>5-90849670-G-A</t>
  </si>
  <si>
    <t>5-90855412-A-C</t>
  </si>
  <si>
    <t>5-90893482-G-A</t>
  </si>
  <si>
    <t>5-90896189-A-G</t>
  </si>
  <si>
    <t>5-90902756-A-G</t>
  </si>
  <si>
    <t>5-90953482-C-T</t>
  </si>
  <si>
    <t>5-90953258-C-G</t>
  </si>
  <si>
    <t>5-90933458-C-A</t>
  </si>
  <si>
    <t>5-90985226-C-T</t>
  </si>
  <si>
    <t>5-90985304-A-G</t>
  </si>
  <si>
    <t>5-90980649-TA-T</t>
  </si>
  <si>
    <t>5-90996548-C-A</t>
  </si>
  <si>
    <t>5-90995260-T-A</t>
  </si>
  <si>
    <t>5-91054094-T-TGA</t>
  </si>
  <si>
    <t>5-91072198-A-G</t>
  </si>
  <si>
    <t>5-91042364-A-G</t>
  </si>
  <si>
    <t>5-91039673-A-C</t>
  </si>
  <si>
    <t>5-91064158-G-A</t>
  </si>
  <si>
    <t>5-91062978-A-T</t>
  </si>
  <si>
    <t>5-91080612-C-A</t>
  </si>
  <si>
    <t>5-91080615-G-T</t>
  </si>
  <si>
    <t>5-91101555-G-A</t>
  </si>
  <si>
    <t>5-91112664-T-A</t>
  </si>
  <si>
    <t>5-91125276-C-T</t>
  </si>
  <si>
    <t>5-91137316-C-A</t>
  </si>
  <si>
    <t>5-91128972-A-G</t>
  </si>
  <si>
    <t>5-91161526-C-A</t>
  </si>
  <si>
    <t>5-90657808-T-C</t>
  </si>
  <si>
    <t>5-90688489-G-A</t>
  </si>
  <si>
    <t>5-90722437-G-A</t>
  </si>
  <si>
    <t>2-73415588-G-A</t>
  </si>
  <si>
    <t>ALMS1</t>
  </si>
  <si>
    <t>2-73492053-T-C</t>
  </si>
  <si>
    <t>17-68417733-A-ATTTTTTTTTT</t>
  </si>
  <si>
    <t>ARSG</t>
  </si>
  <si>
    <t>1-161873071-A-C</t>
  </si>
  <si>
    <t>ATF6</t>
  </si>
  <si>
    <t>1-161809323-T-C</t>
  </si>
  <si>
    <t>11-66525157-A-G</t>
  </si>
  <si>
    <t>BBS1</t>
  </si>
  <si>
    <t>11-66520317-C-A</t>
  </si>
  <si>
    <t>7-33529954-G-C</t>
  </si>
  <si>
    <t>BBS9</t>
  </si>
  <si>
    <t>12-1883521-C-T</t>
  </si>
  <si>
    <t>CACNA2D4</t>
  </si>
  <si>
    <t>12-1892279-A-G</t>
  </si>
  <si>
    <t>4-15594473-A-G</t>
  </si>
  <si>
    <t>CC2D2A</t>
  </si>
  <si>
    <t>10-71429144-T-G</t>
  </si>
  <si>
    <t>CDH23</t>
  </si>
  <si>
    <t>10-71420292-C-T</t>
  </si>
  <si>
    <t>10-71407820-C-T</t>
  </si>
  <si>
    <t>10-71403334-CCTTCCTTCCTTTCTTT-C</t>
  </si>
  <si>
    <t>10-71717454-A-G</t>
  </si>
  <si>
    <t>10-71629749-G-A</t>
  </si>
  <si>
    <t>10-71454345-C-T</t>
  </si>
  <si>
    <t>10-71664767-A-T</t>
  </si>
  <si>
    <t>10-71662388-T-C</t>
  </si>
  <si>
    <t>10-71492087-G-A</t>
  </si>
  <si>
    <t>10-71488512-T-C</t>
  </si>
  <si>
    <t>10-71487682-A-G</t>
  </si>
  <si>
    <t>10-71485838-A-G</t>
  </si>
  <si>
    <t>10-71481681-A-G</t>
  </si>
  <si>
    <t>10-71537844-T-TTA</t>
  </si>
  <si>
    <t>10-71517560-G-GC</t>
  </si>
  <si>
    <t>10-71565646-T-C</t>
  </si>
  <si>
    <t>10-71548980-C-T</t>
  </si>
  <si>
    <t>10-71544113-T-A</t>
  </si>
  <si>
    <t>10-71561169-A-G</t>
  </si>
  <si>
    <t>10-71558282-G-A</t>
  </si>
  <si>
    <t>10-71782185-C-T</t>
  </si>
  <si>
    <t>10-71792850-A-ATAT</t>
  </si>
  <si>
    <t>10-71792849-A-AT</t>
  </si>
  <si>
    <t>10-71596793-G-A</t>
  </si>
  <si>
    <t>10-71610144-T-C</t>
  </si>
  <si>
    <t>10-71809084-G-A</t>
  </si>
  <si>
    <t>10-71814634-C-G</t>
  </si>
  <si>
    <t>11-117337526-AGT-A</t>
  </si>
  <si>
    <t>CEP164</t>
  </si>
  <si>
    <t>11-117317480-GACA-G</t>
  </si>
  <si>
    <t>11-117396360-G-A</t>
  </si>
  <si>
    <t>11-117368281-T-C</t>
  </si>
  <si>
    <t>12-88122802-T-C</t>
  </si>
  <si>
    <t>CEP290</t>
  </si>
  <si>
    <t>12-88118025-A-G</t>
  </si>
  <si>
    <t>12-88139735-T-C</t>
  </si>
  <si>
    <t>12-94311588-A-T</t>
  </si>
  <si>
    <t>CEP83</t>
  </si>
  <si>
    <t>12-94396281-CT-C</t>
  </si>
  <si>
    <t>12-94379957-A-T</t>
  </si>
  <si>
    <t>2-181630686-G-A</t>
  </si>
  <si>
    <t>CERKL</t>
  </si>
  <si>
    <t>16-28480006-G-A</t>
  </si>
  <si>
    <t>CLN3</t>
  </si>
  <si>
    <t>4-47972634-T-A</t>
  </si>
  <si>
    <t>CNGA1</t>
  </si>
  <si>
    <t>1-103085332-G-A</t>
  </si>
  <si>
    <t>COL11A1</t>
  </si>
  <si>
    <t>1-102891887-G-T</t>
  </si>
  <si>
    <t>1-103062589-G-C</t>
  </si>
  <si>
    <t>5-37175449-G-A</t>
  </si>
  <si>
    <t>CPLANE1</t>
  </si>
  <si>
    <t>5-37157971-C-A</t>
  </si>
  <si>
    <t>6-65122468-T-A</t>
  </si>
  <si>
    <t>EYS</t>
  </si>
  <si>
    <t>6-65517563-C-T</t>
  </si>
  <si>
    <t>6-65519741-G-T</t>
  </si>
  <si>
    <t>6-65523440-T-C</t>
  </si>
  <si>
    <t>6-65499308-G-T</t>
  </si>
  <si>
    <t>6-65540565-TA-T</t>
  </si>
  <si>
    <t>6-65542538-T-A</t>
  </si>
  <si>
    <t>6-65542539-C-A</t>
  </si>
  <si>
    <t>6-65542562-T-A</t>
  </si>
  <si>
    <t>6-65560354-A-C</t>
  </si>
  <si>
    <t>6-65502446-C-CG</t>
  </si>
  <si>
    <t>6-65628312-G-T</t>
  </si>
  <si>
    <t>6-65611380-G-A</t>
  </si>
  <si>
    <t>6-65636890-C-T</t>
  </si>
  <si>
    <t>6-65606044-T-G</t>
  </si>
  <si>
    <t>6-65598246-C-T</t>
  </si>
  <si>
    <t>6-65586248-T-C</t>
  </si>
  <si>
    <t>6-65581673-A-C</t>
  </si>
  <si>
    <t>6-65633598-A-G</t>
  </si>
  <si>
    <t>6-65655003-G-T</t>
  </si>
  <si>
    <t>6-65655007-G-T</t>
  </si>
  <si>
    <t>6-65656915-T-C</t>
  </si>
  <si>
    <t>6-65647467-A-T</t>
  </si>
  <si>
    <t>6-65649136-T-TA</t>
  </si>
  <si>
    <t>6-65649179-C-A</t>
  </si>
  <si>
    <t>6-65689263-C-A</t>
  </si>
  <si>
    <t>6-65403820-A-C</t>
  </si>
  <si>
    <t>6-65381647-A-C</t>
  </si>
  <si>
    <t>6-65345720-C-T</t>
  </si>
  <si>
    <t>6-65345828-C-G</t>
  </si>
  <si>
    <t>6-65342380-C-T</t>
  </si>
  <si>
    <t>6-65326007-C-T</t>
  </si>
  <si>
    <t>6-65313740-T-C</t>
  </si>
  <si>
    <t>6-65302635-A-G</t>
  </si>
  <si>
    <t>ZC3H11C</t>
  </si>
  <si>
    <t>6-65303224-G-A</t>
  </si>
  <si>
    <t>6-65296933-T-C</t>
  </si>
  <si>
    <t>6-65283994-G-T</t>
  </si>
  <si>
    <t>6-65283565-A-G</t>
  </si>
  <si>
    <t>6-65280862-A-AT</t>
  </si>
  <si>
    <t>6-65277590-T-C</t>
  </si>
  <si>
    <t>6-65272169-T-C</t>
  </si>
  <si>
    <t>6-65264860-C-T</t>
  </si>
  <si>
    <t>6-65262890-C-T</t>
  </si>
  <si>
    <t>6-65291375-G-T</t>
  </si>
  <si>
    <t>6-65241531-C-A</t>
  </si>
  <si>
    <t>6-65241484-C-T</t>
  </si>
  <si>
    <t>6-65238748-C-A</t>
  </si>
  <si>
    <t>6-65231486-T-C</t>
  </si>
  <si>
    <t>6-65225288-T-C</t>
  </si>
  <si>
    <t>6-65224453-T-C</t>
  </si>
  <si>
    <t>6-65204904-CGTATTTATATATTCTGGAAGAAT-C</t>
  </si>
  <si>
    <t>6-65198039-A-G</t>
  </si>
  <si>
    <t>6-65161046-A-T</t>
  </si>
  <si>
    <t>6-65161846-G-A</t>
  </si>
  <si>
    <t>6-65162617-T-G</t>
  </si>
  <si>
    <t>6-65173769-T-C</t>
  </si>
  <si>
    <t>6-65086544-T-C</t>
  </si>
  <si>
    <t>6-65089059-A-T</t>
  </si>
  <si>
    <t>6-65094293-C-A</t>
  </si>
  <si>
    <t>6-65109529-G-A</t>
  </si>
  <si>
    <t>6-65109855-T-G</t>
  </si>
  <si>
    <t>6-65109883-T-G</t>
  </si>
  <si>
    <t>6-65114367-AAGC-A</t>
  </si>
  <si>
    <t>6-65119984-C-A</t>
  </si>
  <si>
    <t>6-65119985-T-A</t>
  </si>
  <si>
    <t>6-65120486-C-A</t>
  </si>
  <si>
    <t>6-65121470-C-T</t>
  </si>
  <si>
    <t>6-65122330-A-G</t>
  </si>
  <si>
    <t>6-65132598-G-A</t>
  </si>
  <si>
    <t>6-65132608-A-G</t>
  </si>
  <si>
    <t>6-65139077-C-T</t>
  </si>
  <si>
    <t>6-65139081-G-GGGT</t>
  </si>
  <si>
    <t>6-65143390-A-G</t>
  </si>
  <si>
    <t>6-65145395-T-G</t>
  </si>
  <si>
    <t>6-65148259-T-A</t>
  </si>
  <si>
    <t>6-65148265-T-C</t>
  </si>
  <si>
    <t>6-65148272-A-C</t>
  </si>
  <si>
    <t>6-65149419-A-T</t>
  </si>
  <si>
    <t>6-65149421-A-G</t>
  </si>
  <si>
    <t>6-65046842-A-G</t>
  </si>
  <si>
    <t>6-65042108-C-A</t>
  </si>
  <si>
    <t>6-65039910-T-C</t>
  </si>
  <si>
    <t>6-65054804-T-C</t>
  </si>
  <si>
    <t>6-65053503-C-A</t>
  </si>
  <si>
    <t>6-65015642-C-T</t>
  </si>
  <si>
    <t>6-65020527-G-A</t>
  </si>
  <si>
    <t>6-65024952-C-T</t>
  </si>
  <si>
    <t>6-65026583-C-T</t>
  </si>
  <si>
    <t>6-65006972-C-G</t>
  </si>
  <si>
    <t>6-65006978-G-T</t>
  </si>
  <si>
    <t>6-64983973-C-T</t>
  </si>
  <si>
    <t>6-64977036-G-A</t>
  </si>
  <si>
    <t>6-64972517-C-G</t>
  </si>
  <si>
    <t>6-64994291-C-A</t>
  </si>
  <si>
    <t>6-64993373-T-C</t>
  </si>
  <si>
    <t>6-64990092-C-A</t>
  </si>
  <si>
    <t>6-64946032-A-G</t>
  </si>
  <si>
    <t>6-64962795-G-C</t>
  </si>
  <si>
    <t>6-64964757-T-C</t>
  </si>
  <si>
    <t>6-64964760-A-T</t>
  </si>
  <si>
    <t>6-64964763-T-G</t>
  </si>
  <si>
    <t>6-64964770-A-G</t>
  </si>
  <si>
    <t>6-64964784-G-C</t>
  </si>
  <si>
    <t>6-64964787-A-T</t>
  </si>
  <si>
    <t>6-64964798-A-G</t>
  </si>
  <si>
    <t>6-64964807-A-G</t>
  </si>
  <si>
    <t>6-64945114-G-T</t>
  </si>
  <si>
    <t>6-64938336-AAGATATTT-A</t>
  </si>
  <si>
    <t>6-64919370-A-G</t>
  </si>
  <si>
    <t>6-64921578-G-A</t>
  </si>
  <si>
    <t>6-64907918-A-G</t>
  </si>
  <si>
    <t>6-64889439-A-G</t>
  </si>
  <si>
    <t>6-64890921-A-G</t>
  </si>
  <si>
    <t>6-64892902-T-C</t>
  </si>
  <si>
    <t>6-64876498-A-G</t>
  </si>
  <si>
    <t>6-64876403-G-A</t>
  </si>
  <si>
    <t>6-64864409-C-A</t>
  </si>
  <si>
    <t>6-64855506-C-T</t>
  </si>
  <si>
    <t>6-64879483-G-GA</t>
  </si>
  <si>
    <t>6-64877447-A-T</t>
  </si>
  <si>
    <t>6-64839276-AT-A</t>
  </si>
  <si>
    <t>6-64824741-CA-C</t>
  </si>
  <si>
    <t>6-64843913-C-T</t>
  </si>
  <si>
    <t>6-64846901-G-C</t>
  </si>
  <si>
    <t>6-64847970-G-C</t>
  </si>
  <si>
    <t>6-64825576-T-G</t>
  </si>
  <si>
    <t>6-64850677-A-G</t>
  </si>
  <si>
    <t>6-64850766-G-T</t>
  </si>
  <si>
    <t>6-64851254-G-A</t>
  </si>
  <si>
    <t>6-64830502-G-T</t>
  </si>
  <si>
    <t>6-64831497-C-A</t>
  </si>
  <si>
    <t>6-64799754-A-C</t>
  </si>
  <si>
    <t>6-64798647-C-A</t>
  </si>
  <si>
    <t>6-64786116-T-G</t>
  </si>
  <si>
    <t>6-64782793-C-T</t>
  </si>
  <si>
    <t>6-64771923-C-T</t>
  </si>
  <si>
    <t>6-64768489-AT-A</t>
  </si>
  <si>
    <t>6-64768174-T-C</t>
  </si>
  <si>
    <t>6-64765923-A-G</t>
  </si>
  <si>
    <t>6-64757808-G-T</t>
  </si>
  <si>
    <t>6-64757627-T-A</t>
  </si>
  <si>
    <t>6-64745015-A-T</t>
  </si>
  <si>
    <t>6-64626354-A-T</t>
  </si>
  <si>
    <t>6-64640401-T-A</t>
  </si>
  <si>
    <t>6-64653004-C-A</t>
  </si>
  <si>
    <t>6-64663093-C-A</t>
  </si>
  <si>
    <t>6-64666594-A-G</t>
  </si>
  <si>
    <t>6-64679098-C-G</t>
  </si>
  <si>
    <t>6-64631587-G-A</t>
  </si>
  <si>
    <t>6-64684477-G-C</t>
  </si>
  <si>
    <t>6-64632081-C-A</t>
  </si>
  <si>
    <t>6-64686507-C-T</t>
  </si>
  <si>
    <t>6-64690765-C-T</t>
  </si>
  <si>
    <t>6-64690771-T-C</t>
  </si>
  <si>
    <t>6-64690776-T-C</t>
  </si>
  <si>
    <t>6-64690780-G-A</t>
  </si>
  <si>
    <t>6-64690788-T-A</t>
  </si>
  <si>
    <t>6-64690795-A-C</t>
  </si>
  <si>
    <t>6-64690800-T-A</t>
  </si>
  <si>
    <t>6-64700018-C-A</t>
  </si>
  <si>
    <t>6-64633676-T-C</t>
  </si>
  <si>
    <t>6-64700599-C-A</t>
  </si>
  <si>
    <t>6-64714546-G-T</t>
  </si>
  <si>
    <t>6-64622576-GA-G</t>
  </si>
  <si>
    <t>6-64619675-CTGTTT-C</t>
  </si>
  <si>
    <t>6-64613703-G-C</t>
  </si>
  <si>
    <t>6-64616532-G-T</t>
  </si>
  <si>
    <t>6-64427713-T-C</t>
  </si>
  <si>
    <t>6-64578870-T-C</t>
  </si>
  <si>
    <t>6-64570707-AG-A</t>
  </si>
  <si>
    <t>6-64569045-C-A</t>
  </si>
  <si>
    <t>6-64556397-G-A</t>
  </si>
  <si>
    <t>6-64554395-T-G</t>
  </si>
  <si>
    <t>6-64554280-T-C</t>
  </si>
  <si>
    <t>6-64549916-G-A</t>
  </si>
  <si>
    <t>6-64544382-A-C</t>
  </si>
  <si>
    <t>6-64544116-T-C</t>
  </si>
  <si>
    <t>6-64537490-A-T</t>
  </si>
  <si>
    <t>6-64532741-T-C</t>
  </si>
  <si>
    <t>6-64517087-T-C</t>
  </si>
  <si>
    <t>6-64450111-C-T</t>
  </si>
  <si>
    <t>6-64462895-T-C</t>
  </si>
  <si>
    <t>6-64464281-G-A</t>
  </si>
  <si>
    <t>6-64467920-C-T</t>
  </si>
  <si>
    <t>6-64471329-T-C</t>
  </si>
  <si>
    <t>6-64480953-T-C</t>
  </si>
  <si>
    <t>6-64486024-TA-T</t>
  </si>
  <si>
    <t>6-64429828-T-C</t>
  </si>
  <si>
    <t>6-64401649-A-G</t>
  </si>
  <si>
    <t>6-64403213-T-A</t>
  </si>
  <si>
    <t>6-64403362-A-AT</t>
  </si>
  <si>
    <t>6-64408655-T-G</t>
  </si>
  <si>
    <t>6-64410124-T-C</t>
  </si>
  <si>
    <t>6-64397885-A-T</t>
  </si>
  <si>
    <t>6-64388939-T-A</t>
  </si>
  <si>
    <t>6-64387657-G-A</t>
  </si>
  <si>
    <t>6-64373656-G-A</t>
  </si>
  <si>
    <t>6-64373598-G-C</t>
  </si>
  <si>
    <t>6-64386793-C-T</t>
  </si>
  <si>
    <t>6-64364750-A-T</t>
  </si>
  <si>
    <t>6-64362990-A-T</t>
  </si>
  <si>
    <t>6-64362989-C-T</t>
  </si>
  <si>
    <t>6-64383130-A-G</t>
  </si>
  <si>
    <t>6-64379719-G-A</t>
  </si>
  <si>
    <t>6-64319708-T-TGGAC</t>
  </si>
  <si>
    <t>6-64331132-T-C</t>
  </si>
  <si>
    <t>6-64341685-T-C</t>
  </si>
  <si>
    <t>6-64344700-G-A</t>
  </si>
  <si>
    <t>6-64276214-T-A</t>
  </si>
  <si>
    <t>6-64274481-G-GTGTTT</t>
  </si>
  <si>
    <t>6-64300501-C-T</t>
  </si>
  <si>
    <t>6-64300111-T-G</t>
  </si>
  <si>
    <t>6-64241106-G-A</t>
  </si>
  <si>
    <t>6-64231866-G-T</t>
  </si>
  <si>
    <t>6-64251971-A-G</t>
  </si>
  <si>
    <t>6-64256438-C-G</t>
  </si>
  <si>
    <t>6-64260191-A-C</t>
  </si>
  <si>
    <t>6-64236869-C-T</t>
  </si>
  <si>
    <t>6-64219589-G-C</t>
  </si>
  <si>
    <t>6-64228794-C-T</t>
  </si>
  <si>
    <t>6-64211089-G-A</t>
  </si>
  <si>
    <t>6-64209947-A-G</t>
  </si>
  <si>
    <t>6-64191483-C-T</t>
  </si>
  <si>
    <t>6-64183243-G-A</t>
  </si>
  <si>
    <t>6-64183239-A-C</t>
  </si>
  <si>
    <t>6-64183238-T-C</t>
  </si>
  <si>
    <t>6-64158201-T-G</t>
  </si>
  <si>
    <t>6-64156874-TTTTTTAA-T</t>
  </si>
  <si>
    <t>6-64156448-T-G</t>
  </si>
  <si>
    <t>6-64222338-C-T</t>
  </si>
  <si>
    <t>6-64092766-C-A</t>
  </si>
  <si>
    <t>6-64093730-G-A</t>
  </si>
  <si>
    <t>6-64108441-G-T</t>
  </si>
  <si>
    <t>6-64117336-C-A</t>
  </si>
  <si>
    <t>6-64125785-C-CAA</t>
  </si>
  <si>
    <t>6-64139630-G-C</t>
  </si>
  <si>
    <t>6-64147286-T-C</t>
  </si>
  <si>
    <t>6-64091526-G-T</t>
  </si>
  <si>
    <t>6-64079519-G-A</t>
  </si>
  <si>
    <t>6-64075096-G-C</t>
  </si>
  <si>
    <t>6-64050998-G-T</t>
  </si>
  <si>
    <t>6-64037678-C-T</t>
  </si>
  <si>
    <t>6-64011402-G-A</t>
  </si>
  <si>
    <t>6-64012407-GC-G</t>
  </si>
  <si>
    <t>6-64024854-G-A</t>
  </si>
  <si>
    <t>6-64004151-A-G</t>
  </si>
  <si>
    <t>6-63995325-G-A</t>
  </si>
  <si>
    <t>6-63992096-A-G</t>
  </si>
  <si>
    <t>6-63986586-A-T</t>
  </si>
  <si>
    <t>6-63986601-A-G</t>
  </si>
  <si>
    <t>6-63986603-A-G</t>
  </si>
  <si>
    <t>6-63986617-G-T</t>
  </si>
  <si>
    <t>6-63986619-T-C</t>
  </si>
  <si>
    <t>6-63986627-GTGGA-G</t>
  </si>
  <si>
    <t>6-63986629-A-AGAGC</t>
  </si>
  <si>
    <t>6-63940638-A-G</t>
  </si>
  <si>
    <t>6-63876912-C-T</t>
  </si>
  <si>
    <t>6-63905629-C-A</t>
  </si>
  <si>
    <t>6-63921037-C-A</t>
  </si>
  <si>
    <t>6-63852185-C-CAAA</t>
  </si>
  <si>
    <t>6-63852185-C-A</t>
  </si>
  <si>
    <t>6-63850227-A-T</t>
  </si>
  <si>
    <t>6-63862187-C-T</t>
  </si>
  <si>
    <t>6-63843233-T-C</t>
  </si>
  <si>
    <t>6-63843232-G-A</t>
  </si>
  <si>
    <t>6-63837128-CA-C</t>
  </si>
  <si>
    <t>6-63836585-TAGAA-T</t>
  </si>
  <si>
    <t>6-63855760-G-A</t>
  </si>
  <si>
    <t>6-63819201-C-T</t>
  </si>
  <si>
    <t>6-63824225-TA-T</t>
  </si>
  <si>
    <t>6-63835259-G-GTA</t>
  </si>
  <si>
    <t>6-63811567-A-G</t>
  </si>
  <si>
    <t>6-63815029-A-T</t>
  </si>
  <si>
    <t>6-63802426-G-C</t>
  </si>
  <si>
    <t>6-65493399-A-G</t>
  </si>
  <si>
    <t>6-63767646-T-C</t>
  </si>
  <si>
    <t>6-63768620-T-C</t>
  </si>
  <si>
    <t>6-63756330-A-G</t>
  </si>
  <si>
    <t>6-63753293-C-T</t>
  </si>
  <si>
    <t>6-63727926-TA-T</t>
  </si>
  <si>
    <t>6-63731025-A-G</t>
  </si>
  <si>
    <t>6-63731651-T-G</t>
  </si>
  <si>
    <t>6-63722031-C-T</t>
  </si>
  <si>
    <t>PHF3</t>
  </si>
  <si>
    <t>6-65473253-T-C</t>
  </si>
  <si>
    <t>6-65468995-T-C</t>
  </si>
  <si>
    <t>6-65461026-T-G</t>
  </si>
  <si>
    <t>6-65430859-G-A</t>
  </si>
  <si>
    <t>6-65432614-G-A</t>
  </si>
  <si>
    <t>6-65434188-G-A</t>
  </si>
  <si>
    <t>6-65440694-T-TA</t>
  </si>
  <si>
    <t>6-65441890-A-G</t>
  </si>
  <si>
    <t>6-65446195-C-T</t>
  </si>
  <si>
    <t>1-212884078-C-T</t>
  </si>
  <si>
    <t>FLVCR1</t>
  </si>
  <si>
    <t>1-212884167-C-T</t>
  </si>
  <si>
    <t>16-1609167-T-G</t>
  </si>
  <si>
    <t>IFT140</t>
  </si>
  <si>
    <t>14-76009602-A-G</t>
  </si>
  <si>
    <t>IFT43</t>
  </si>
  <si>
    <t>14-76057264-A-C</t>
  </si>
  <si>
    <t>14-76055980-C-G</t>
  </si>
  <si>
    <t>3-101255652-CT-C</t>
  </si>
  <si>
    <t>IMPG2</t>
  </si>
  <si>
    <t>18-7058188-A-G</t>
  </si>
  <si>
    <t>LAMA1</t>
  </si>
  <si>
    <t>18-6982818-T-G</t>
  </si>
  <si>
    <t>18-6982687-C-T</t>
  </si>
  <si>
    <t>18-7112975-A-G</t>
  </si>
  <si>
    <t>6-79511516-C-T</t>
  </si>
  <si>
    <t>LCA5</t>
  </si>
  <si>
    <t>6-10837919-G-T</t>
  </si>
  <si>
    <t>MAK</t>
  </si>
  <si>
    <t>6-10820641-C-T</t>
  </si>
  <si>
    <t>6-10773691-AT-A</t>
  </si>
  <si>
    <t>2-111907538-A-G</t>
  </si>
  <si>
    <t>MERTK</t>
  </si>
  <si>
    <t>2-111927545-G-C</t>
  </si>
  <si>
    <t>11-77155337-A-G</t>
  </si>
  <si>
    <t>MYO7A</t>
  </si>
  <si>
    <t>1-9964768-T-C</t>
  </si>
  <si>
    <t>NMNAT1</t>
  </si>
  <si>
    <t>ENST00000377205.5:c.-56-8582G&gt;A rs200701875</t>
  </si>
  <si>
    <t>1-9963436-G-A</t>
  </si>
  <si>
    <t>ENST00000377205.5:c.-57+10323C&gt;T</t>
  </si>
  <si>
    <t>1-9953838-C-T</t>
  </si>
  <si>
    <t>ENST00000377205.5:c.-57+13432G&gt;T</t>
  </si>
  <si>
    <t>1-9956947-G-T</t>
  </si>
  <si>
    <t>ENST00000377205.5:c.116-1265G&gt;A</t>
  </si>
  <si>
    <t>1-9974327-G-A</t>
  </si>
  <si>
    <t>1-9973978-GATTAC-G</t>
  </si>
  <si>
    <t>ENST00000377205.5:c.116-1631C&gt;G</t>
  </si>
  <si>
    <t>1-9973961-C-G</t>
  </si>
  <si>
    <t>ENST00000377205.5:c.299+1142T&gt;C</t>
  </si>
  <si>
    <t>1-9976917-T-C</t>
  </si>
  <si>
    <t>ENST00000377205.5:c.300-2315A&gt;T</t>
  </si>
  <si>
    <t>1-9978716-A-T</t>
  </si>
  <si>
    <t>15-71795392-G-T</t>
  </si>
  <si>
    <t>NR2E3</t>
  </si>
  <si>
    <t>15-71795408-G-A</t>
  </si>
  <si>
    <t>15-71795439-T-G</t>
  </si>
  <si>
    <t>15-71815241-G-A</t>
  </si>
  <si>
    <t>5-149895639-A-C</t>
  </si>
  <si>
    <t>PDE6A</t>
  </si>
  <si>
    <t>5-149914599-C-T</t>
  </si>
  <si>
    <t>4-658223-A-G</t>
  </si>
  <si>
    <t>PDE6B</t>
  </si>
  <si>
    <t>4-661323-C-G</t>
  </si>
  <si>
    <t>4-663645-G-C</t>
  </si>
  <si>
    <t>4-664491-C-A</t>
  </si>
  <si>
    <t>4-630381-G-A</t>
  </si>
  <si>
    <t>4-649633-G-A</t>
  </si>
  <si>
    <t>4-646709-G-A</t>
  </si>
  <si>
    <t>10-93624410-G-C</t>
  </si>
  <si>
    <t>PDE6C</t>
  </si>
  <si>
    <t>ENST00000287600.9:c.372-1793C&gt;T</t>
  </si>
  <si>
    <t>2-231734826-G-A</t>
  </si>
  <si>
    <t>PDE6D</t>
  </si>
  <si>
    <t>ENST00000287600.9:c.372-1811G&gt;T</t>
  </si>
  <si>
    <t>2-231734844-C-A</t>
  </si>
  <si>
    <t>ENST00000287600.9:c.51-16341A&gt;G</t>
  </si>
  <si>
    <t>2-231755529-T-C</t>
  </si>
  <si>
    <t>ENST00000287600.9:c.51-16349C&gt;T</t>
  </si>
  <si>
    <t>2-231755537-G-A</t>
  </si>
  <si>
    <t>ENST00000287600.9:c.51-16350A&gt;G</t>
  </si>
  <si>
    <t>2-231755538-T-C</t>
  </si>
  <si>
    <t>ENST00000287600.9:c.51-3074G&gt;A</t>
  </si>
  <si>
    <t>2-231742262-C-T</t>
  </si>
  <si>
    <t>ENST00000287600.9:c.51-3081C&gt;A</t>
  </si>
  <si>
    <t>2-231742269-G-T</t>
  </si>
  <si>
    <t>ENST00000287600.9:c.51-3083T&gt;C</t>
  </si>
  <si>
    <t>2-231742271-A-G</t>
  </si>
  <si>
    <t>2-61022226-T-C</t>
  </si>
  <si>
    <t>PEX13</t>
  </si>
  <si>
    <t>ENST00000472851.1:c.169+15719C&gt;A</t>
  </si>
  <si>
    <t>1-10552016-C-A</t>
  </si>
  <si>
    <t>PEX14</t>
  </si>
  <si>
    <t>ENST00000472851.1:c.169+15750C&gt;T</t>
  </si>
  <si>
    <t>1-10552047-C-T</t>
  </si>
  <si>
    <t>ENST00000472851.1:c.169+16042G&gt;T</t>
  </si>
  <si>
    <t>1-10552339-G-T</t>
  </si>
  <si>
    <t>ENST00000472851.1:c.169+27471C&gt;T</t>
  </si>
  <si>
    <t>1-10563768-C-T</t>
  </si>
  <si>
    <t>ENST00000472851.1:c.170-28663G&gt;A</t>
  </si>
  <si>
    <t>1-10570575-G-A</t>
  </si>
  <si>
    <t>ENST00000472851.1:c.298+6319G&gt;A</t>
  </si>
  <si>
    <t>1-10605685-G-A</t>
  </si>
  <si>
    <t>ENST00000472851.1:c.299-1604C&gt;T</t>
  </si>
  <si>
    <t>1-10616728-C-T</t>
  </si>
  <si>
    <t>ENST00000472851.1:c.384+1268A&gt;G</t>
  </si>
  <si>
    <t>1-10619685-A-G</t>
  </si>
  <si>
    <t>ENST00000472851.1:c.384+1906_384+1915del</t>
  </si>
  <si>
    <t>1-10620299-AACAATAAAAT-A</t>
  </si>
  <si>
    <t>ENST00000472851.1:c.385-423G&gt;A</t>
  </si>
  <si>
    <t>1-10622596-G-A</t>
  </si>
  <si>
    <t>ENST00000472851.1:c.585+1214G&gt;A</t>
  </si>
  <si>
    <t>1-10625651-G-A</t>
  </si>
  <si>
    <t>ENST00000472851.1:c.586-313A&gt;G</t>
  </si>
  <si>
    <t>1-10626959-A-G</t>
  </si>
  <si>
    <t>ENST00000472851.1:c.677+57G&gt;C</t>
  </si>
  <si>
    <t>1-10627420-G-C</t>
  </si>
  <si>
    <t>ENST00000472851.1:c.84+1748del</t>
  </si>
  <si>
    <t>1-10497066-GA-G</t>
  </si>
  <si>
    <t>ENST00000472851.1:c.84+9214G&gt;A</t>
  </si>
  <si>
    <t>1-10504535-G-A</t>
  </si>
  <si>
    <t>ENST00000472851.1:c.85-15490T&gt;C</t>
  </si>
  <si>
    <t>1-10520723-T-C</t>
  </si>
  <si>
    <t>6-136823483-G-A</t>
  </si>
  <si>
    <t>PEX7</t>
  </si>
  <si>
    <t>4-127894590-A-T</t>
  </si>
  <si>
    <t>PLK4</t>
  </si>
  <si>
    <t>12-89466410-T-C</t>
  </si>
  <si>
    <t>POC1B</t>
  </si>
  <si>
    <t>1-40089312-C-A</t>
  </si>
  <si>
    <t>PPT1</t>
  </si>
  <si>
    <t>4-16012792-A-C</t>
  </si>
  <si>
    <t>PROM1</t>
  </si>
  <si>
    <t>4-15990725-C-G</t>
  </si>
  <si>
    <t>14-21302893-G-T</t>
  </si>
  <si>
    <t>RPGRIP1</t>
  </si>
  <si>
    <t>16-53652380-C-T</t>
  </si>
  <si>
    <t>RPGRIP1L</t>
  </si>
  <si>
    <t>16-53624469-G-A</t>
  </si>
  <si>
    <t>16-53698990-G-A</t>
  </si>
  <si>
    <t>1-935279-G-T</t>
  </si>
  <si>
    <t>SAMD11</t>
  </si>
  <si>
    <t>1-243366393-A-G</t>
  </si>
  <si>
    <t>SDCCAG8</t>
  </si>
  <si>
    <t>17-68277419-C-T</t>
  </si>
  <si>
    <t>SLC16A6</t>
  </si>
  <si>
    <t>3-170562493-A-T</t>
  </si>
  <si>
    <t>SLC7A14</t>
  </si>
  <si>
    <t>3-170562486-A-T</t>
  </si>
  <si>
    <t>3-170505802-C-G</t>
  </si>
  <si>
    <t>15-31053460-G-A</t>
  </si>
  <si>
    <t>TRPM1</t>
  </si>
  <si>
    <t>15-31156228-C-A</t>
  </si>
  <si>
    <t>15-31156227-T-A</t>
  </si>
  <si>
    <t>1-215786033-C-G</t>
  </si>
  <si>
    <t>USH2A</t>
  </si>
  <si>
    <t>1-215777702-T-A</t>
  </si>
  <si>
    <t>1-215777700-A-G</t>
  </si>
  <si>
    <t>1-215773097-T-A</t>
  </si>
  <si>
    <t>1-215763865-T-A</t>
  </si>
  <si>
    <t>1-215749691-T-G</t>
  </si>
  <si>
    <t>1-215749854-T-C</t>
  </si>
  <si>
    <t>1-215742887-CA-C</t>
  </si>
  <si>
    <t>1-215730860-G-A</t>
  </si>
  <si>
    <t>1-215732573-TG-T</t>
  </si>
  <si>
    <t>1-215732576-C-A</t>
  </si>
  <si>
    <t>1-215715611-G-T</t>
  </si>
  <si>
    <t>1-215708293-T-A</t>
  </si>
  <si>
    <t>1-215723303-C-T</t>
  </si>
  <si>
    <t>1-215721943-T-C</t>
  </si>
  <si>
    <t>1-215721819-T-A</t>
  </si>
  <si>
    <t>1-215721121-C-T</t>
  </si>
  <si>
    <t>1-215694523-A-AAGCC</t>
  </si>
  <si>
    <t>1-215694525-A-AAGCTTACGG</t>
  </si>
  <si>
    <t>1-215700551-C-G</t>
  </si>
  <si>
    <t>1-215701413-T-C</t>
  </si>
  <si>
    <t>1-215701466-AG-A</t>
  </si>
  <si>
    <t>1-215703095-C-T</t>
  </si>
  <si>
    <t>1-215663370-T-C</t>
  </si>
  <si>
    <t>1-215662337-G-T</t>
  </si>
  <si>
    <t>1-215651410-C-A</t>
  </si>
  <si>
    <t>1-215659213-T-C</t>
  </si>
  <si>
    <t>1-215633283-T-C</t>
  </si>
  <si>
    <t>1-215628344-G-A</t>
  </si>
  <si>
    <t>1-216272559-G-C</t>
  </si>
  <si>
    <t>1-216282990-A-G</t>
  </si>
  <si>
    <t>1-216282592-T-A</t>
  </si>
  <si>
    <t>1-216245532-A-T</t>
  </si>
  <si>
    <t>1-216243646-T-C</t>
  </si>
  <si>
    <t>1-216243452-T-C</t>
  </si>
  <si>
    <t>1-216242048-T-G</t>
  </si>
  <si>
    <t>1-216240005-G-T</t>
  </si>
  <si>
    <t>1-216229846-A-T</t>
  </si>
  <si>
    <t>1-216211940-C-T</t>
  </si>
  <si>
    <t>1-216194180-A-T</t>
  </si>
  <si>
    <t>1-216194179-G-T</t>
  </si>
  <si>
    <t>1-216194178-G-T</t>
  </si>
  <si>
    <t>1-216193357-G-A</t>
  </si>
  <si>
    <t>1-216189610-TAA-T</t>
  </si>
  <si>
    <t>1-216182618-T-G</t>
  </si>
  <si>
    <t>1-216146040-G-A</t>
  </si>
  <si>
    <t>1-216140523-G-A</t>
  </si>
  <si>
    <t>1-216138922-ATGTG-A</t>
  </si>
  <si>
    <t>1-216114700-C-A</t>
  </si>
  <si>
    <t>1-216126689-C-CAAT</t>
  </si>
  <si>
    <t>1-216129805-T-C</t>
  </si>
  <si>
    <t>1-216102132-G-C</t>
  </si>
  <si>
    <t>1-216105070-C-T</t>
  </si>
  <si>
    <t>1-216090430-G-T</t>
  </si>
  <si>
    <t>1-216088534-T-G</t>
  </si>
  <si>
    <t>1-216079987-G-A</t>
  </si>
  <si>
    <t>1-216074349-T-C</t>
  </si>
  <si>
    <t>1-216064128-C-A</t>
  </si>
  <si>
    <t>1-216061150-C-A</t>
  </si>
  <si>
    <t>1-216033382-G-T</t>
  </si>
  <si>
    <t>1-216026760-A-G</t>
  </si>
  <si>
    <t>1-216037514-G-T</t>
  </si>
  <si>
    <t>1-216011545-G-A</t>
  </si>
  <si>
    <t>1-216003889-G-A</t>
  </si>
  <si>
    <t>1-216037514-G-C</t>
  </si>
  <si>
    <t>1-216004782-A-G</t>
  </si>
  <si>
    <t>1-216400175-C-A</t>
  </si>
  <si>
    <t>1-216368947-T-C</t>
  </si>
  <si>
    <t>1-216369740-G-A</t>
  </si>
  <si>
    <t>1-216370110-G-A</t>
  </si>
  <si>
    <t>1-215998131-A-G</t>
  </si>
  <si>
    <t>1-215991802-T-C</t>
  </si>
  <si>
    <t>1-215990023-T-G</t>
  </si>
  <si>
    <t>1-215966223-A-G</t>
  </si>
  <si>
    <t>1-215942531-T-C</t>
  </si>
  <si>
    <t>1-215923164-T-G</t>
  </si>
  <si>
    <t>1-215922484-C-T</t>
  </si>
  <si>
    <t>1-215929747-TG-T</t>
  </si>
  <si>
    <t>1-215924890-T-C</t>
  </si>
  <si>
    <t>1-215913337-CT-C</t>
  </si>
  <si>
    <t>1-215914368-T-C</t>
  </si>
  <si>
    <t>1-215901481-A-C</t>
  </si>
  <si>
    <t>1-215898777-C-T</t>
  </si>
  <si>
    <t>1-215897040-A-G</t>
  </si>
  <si>
    <t>1-215896034-G-A</t>
  </si>
  <si>
    <t>1-216362772-A-G</t>
  </si>
  <si>
    <t>1-216362771-C-A</t>
  </si>
  <si>
    <t>1-216362760-T-C</t>
  </si>
  <si>
    <t>1-216358257-T-C</t>
  </si>
  <si>
    <t>1-216337476-C-T</t>
  </si>
  <si>
    <t>1-215879223-G-T</t>
  </si>
  <si>
    <t>1-215867824-G-C</t>
  </si>
  <si>
    <t>1-215850314-A-G</t>
  </si>
  <si>
    <t>1-215840868-T-C</t>
  </si>
  <si>
    <t>1-215833775-GA-G</t>
  </si>
  <si>
    <t>1-215822306-CA-C</t>
  </si>
  <si>
    <t>1-215812238-A-G</t>
  </si>
  <si>
    <t>1-215812237-C-T</t>
  </si>
  <si>
    <t>1-215812234-C-T</t>
  </si>
  <si>
    <t>1-215812233-G-A</t>
  </si>
  <si>
    <t>1-215800343-G-A</t>
  </si>
  <si>
    <t>1-215803932-A-C</t>
  </si>
  <si>
    <t>1-215795345-G-A</t>
  </si>
  <si>
    <t>8-99027541-G-C</t>
  </si>
  <si>
    <t>VPS13B</t>
  </si>
  <si>
    <t>8-99038406-A-G</t>
  </si>
  <si>
    <t>8-99033081-A-T</t>
  </si>
  <si>
    <t>8-99030157-C-A</t>
  </si>
  <si>
    <t>8-99149507-A-G</t>
  </si>
  <si>
    <t>8-99149510-A-G</t>
  </si>
  <si>
    <t>8-99154564-GC-G</t>
  </si>
  <si>
    <t>8-99221288-A-C</t>
  </si>
  <si>
    <t>8-99221564-A-G</t>
  </si>
  <si>
    <t>8-99299083-C-A</t>
  </si>
  <si>
    <t>8-99381737-A-G</t>
  </si>
  <si>
    <t>8-99331565-A-C</t>
  </si>
  <si>
    <t>8-99050280-C-T</t>
  </si>
  <si>
    <t>8-99050281-A-G</t>
  </si>
  <si>
    <t>8-99050282-G-A</t>
  </si>
  <si>
    <t>8-99092616-G-A</t>
  </si>
  <si>
    <t>8-99088290-G-T</t>
  </si>
  <si>
    <t>8-99405654-G-C</t>
  </si>
  <si>
    <t>8-99405667-G-C</t>
  </si>
  <si>
    <t>8-99416820-C-T</t>
  </si>
  <si>
    <t>8-99449526-A-G</t>
  </si>
  <si>
    <t>8-99450522-A-G</t>
  </si>
  <si>
    <t>8-99455617-T-G</t>
  </si>
  <si>
    <t>8-99468100-G-A</t>
  </si>
  <si>
    <t>8-99516825-G-T</t>
  </si>
  <si>
    <t>8-99551646-T-C</t>
  </si>
  <si>
    <t>8-99560375-C-A</t>
  </si>
  <si>
    <t>8-99562280-C-A</t>
  </si>
  <si>
    <t>8-99592031-TG-T</t>
  </si>
  <si>
    <t>8-99592094-A-T</t>
  </si>
  <si>
    <t>8-99592095-C-G</t>
  </si>
  <si>
    <t>8-99592101-T-C</t>
  </si>
  <si>
    <t>8-99592102-G-A</t>
  </si>
  <si>
    <t>8-99592106-C-T</t>
  </si>
  <si>
    <t>8-99592107-A-G</t>
  </si>
  <si>
    <t>8-99630877-T-C</t>
  </si>
  <si>
    <t>8-99640481-T-C</t>
  </si>
  <si>
    <t>8-99640069-GAAAAGAAA-G</t>
  </si>
  <si>
    <t>8-99624037-G-T</t>
  </si>
  <si>
    <t>8-99614639-T-C</t>
  </si>
  <si>
    <t>8-99699159-G-T</t>
  </si>
  <si>
    <t>8-99742151-C-T</t>
  </si>
  <si>
    <t>8-99743606-T-A</t>
  </si>
  <si>
    <t>8-99743613-T-A</t>
  </si>
  <si>
    <t>8-99743614-C-A</t>
  </si>
  <si>
    <t>8-99743615-C-A</t>
  </si>
  <si>
    <t>8-99749610-T-C</t>
  </si>
  <si>
    <t>8-99749609-G-A</t>
  </si>
  <si>
    <t>8-99749607-G-A</t>
  </si>
  <si>
    <t>8-99749604-T-G</t>
  </si>
  <si>
    <t>8-99749600-C-T</t>
  </si>
  <si>
    <t>8-99749598-C-T</t>
  </si>
  <si>
    <t>8-99749592-G-A</t>
  </si>
  <si>
    <t>8-99749591-A-C</t>
  </si>
  <si>
    <t>8-99784577-G-A</t>
  </si>
  <si>
    <t>8-99119673-A-T</t>
  </si>
  <si>
    <t>4-39223580-G-T</t>
  </si>
  <si>
    <t>WDR19</t>
  </si>
  <si>
    <t>4-39263789-T-C</t>
  </si>
  <si>
    <t>4-39200185-T-A</t>
  </si>
  <si>
    <t>4-39200194-C-A</t>
  </si>
  <si>
    <t>9-128645450-T-TC</t>
  </si>
  <si>
    <t>4-6285222-AGGGGCGTCCAGGAAGAGGGGC-A</t>
  </si>
  <si>
    <t>WFS1</t>
  </si>
  <si>
    <t>4-6292206-C-T</t>
  </si>
  <si>
    <t>4-6298518-T-C</t>
  </si>
  <si>
    <t>16-49730532-G-A</t>
  </si>
  <si>
    <t>ZNF423</t>
  </si>
  <si>
    <t>16-49767752-C-T</t>
  </si>
  <si>
    <t>CPM (Counts per million) REF</t>
  </si>
  <si>
    <t>CPM (Counts per million) ALT</t>
  </si>
  <si>
    <t>Variant</t>
  </si>
  <si>
    <t>chr1:102891887G&gt;T</t>
  </si>
  <si>
    <t>chr1:103062589G&gt;C</t>
  </si>
  <si>
    <t>chr1:103085332G&gt;A</t>
  </si>
  <si>
    <t>chr1:10497066GA&gt;G</t>
  </si>
  <si>
    <t>chr1:10504535G&gt;A</t>
  </si>
  <si>
    <t>chr1:10520723T&gt;C</t>
  </si>
  <si>
    <t>chr1:10552016C&gt;A</t>
  </si>
  <si>
    <t>chr1:10552047C&gt;T</t>
  </si>
  <si>
    <t>chr1:10552339G&gt;T</t>
  </si>
  <si>
    <t>chr1:10563768C&gt;T</t>
  </si>
  <si>
    <t>chr1:10570575G&gt;A</t>
  </si>
  <si>
    <t>chr1:10605685G&gt;A</t>
  </si>
  <si>
    <t>chr1:10616728C&gt;T</t>
  </si>
  <si>
    <t>chr1:10619685A&gt;G</t>
  </si>
  <si>
    <t>chr1:10620299AACAATAAAAT&gt;A</t>
  </si>
  <si>
    <t>chr1:10622596G&gt;A</t>
  </si>
  <si>
    <t>chr1:10625651G&gt;A</t>
  </si>
  <si>
    <t>chr1:10626959A&gt;G</t>
  </si>
  <si>
    <t>chr1:10627420G&gt;C</t>
  </si>
  <si>
    <t>chr1:161809323T&gt;C</t>
  </si>
  <si>
    <t>chr1:161873071A&gt;C</t>
  </si>
  <si>
    <t>chr1:212884078C&gt;T</t>
  </si>
  <si>
    <t>chr1:212884167C&gt;T</t>
  </si>
  <si>
    <t>chr1:215628344G&gt;A</t>
  </si>
  <si>
    <t>chr1:215633283T&gt;C</t>
  </si>
  <si>
    <t>chr1:215651410C&gt;A</t>
  </si>
  <si>
    <t>chr1:215659213T&gt;C</t>
  </si>
  <si>
    <t>chr1:215662337G&gt;T</t>
  </si>
  <si>
    <t>chr1:215663370T&gt;C</t>
  </si>
  <si>
    <t>chr1:215694523A&gt;AAGCC</t>
  </si>
  <si>
    <t>chr1:215694525A&gt;AAGCTTACGG</t>
  </si>
  <si>
    <t>chr1:215700551C&gt;G</t>
  </si>
  <si>
    <t>chr1:215701413T&gt;C</t>
  </si>
  <si>
    <t>chr1:215701466AG&gt;A</t>
  </si>
  <si>
    <t>chr1:215703095C&gt;T</t>
  </si>
  <si>
    <t>chr1:215708293T&gt;A</t>
  </si>
  <si>
    <t>chr1:215715611G&gt;T</t>
  </si>
  <si>
    <t>chr1:215721121C&gt;T</t>
  </si>
  <si>
    <t>chr1:215721819T&gt;A</t>
  </si>
  <si>
    <t>chr1:215721943T&gt;C</t>
  </si>
  <si>
    <t>chr1:215723303C&gt;T</t>
  </si>
  <si>
    <t>chr1:215730860G&gt;A</t>
  </si>
  <si>
    <t>chr1:215732573TG&gt;T</t>
  </si>
  <si>
    <t>chr1:215732576C&gt;A</t>
  </si>
  <si>
    <t>chr1:215742887CA&gt;C</t>
  </si>
  <si>
    <t>chr1:215749691T&gt;G</t>
  </si>
  <si>
    <t>chr1:215749854T&gt;C</t>
  </si>
  <si>
    <t>chr1:215763865T&gt;A</t>
  </si>
  <si>
    <t>chr1:215773097T&gt;A</t>
  </si>
  <si>
    <t>chr1:215777700A&gt;G</t>
  </si>
  <si>
    <t>chr1:215777702T&gt;A</t>
  </si>
  <si>
    <t>chr1:215786033C&gt;G</t>
  </si>
  <si>
    <t>chr1:215795345G&gt;A</t>
  </si>
  <si>
    <t>chr1:215800343G&gt;A</t>
  </si>
  <si>
    <t>chr1:215803932A&gt;C</t>
  </si>
  <si>
    <t>chr1:215812233G&gt;A</t>
  </si>
  <si>
    <t>chr1:215812234C&gt;T</t>
  </si>
  <si>
    <t>chr1:215812237C&gt;T</t>
  </si>
  <si>
    <t>chr1:215812238A&gt;G</t>
  </si>
  <si>
    <t>chr1:215822306CA&gt;C</t>
  </si>
  <si>
    <t>chr1:215833775GA&gt;G</t>
  </si>
  <si>
    <t>chr1:215840868T&gt;C</t>
  </si>
  <si>
    <t>chr1:215850314A&gt;G</t>
  </si>
  <si>
    <t>chr1:215867824G&gt;C</t>
  </si>
  <si>
    <t>chr1:215879223G&gt;T</t>
  </si>
  <si>
    <t>chr1:215896034G&gt;A</t>
  </si>
  <si>
    <t>chr1:215897040A&gt;G</t>
  </si>
  <si>
    <t>chr1:215898777C&gt;T</t>
  </si>
  <si>
    <t>chr1:215901481A&gt;C</t>
  </si>
  <si>
    <t>chr1:215913337CT&gt;C</t>
  </si>
  <si>
    <t>chr1:215914368T&gt;C</t>
  </si>
  <si>
    <t>chr1:215922484C&gt;T</t>
  </si>
  <si>
    <t>chr1:215923164T&gt;G</t>
  </si>
  <si>
    <t>chr1:215924890T&gt;C</t>
  </si>
  <si>
    <t>chr1:215929747TG&gt;T</t>
  </si>
  <si>
    <t>chr1:215942531T&gt;C</t>
  </si>
  <si>
    <t>chr1:215966223A&gt;G</t>
  </si>
  <si>
    <t>chr1:215990023T&gt;G</t>
  </si>
  <si>
    <t>chr1:215991802T&gt;C</t>
  </si>
  <si>
    <t>chr1:215998131A&gt;G</t>
  </si>
  <si>
    <t>chr1:216003889G&gt;A</t>
  </si>
  <si>
    <t>chr1:216004782A&gt;G</t>
  </si>
  <si>
    <t>chr1:216011545G&gt;A</t>
  </si>
  <si>
    <t>chr1:216026760A&gt;G</t>
  </si>
  <si>
    <t>chr1:216033382G&gt;T</t>
  </si>
  <si>
    <t>chr1:216037514G&gt;C</t>
  </si>
  <si>
    <t>chr1:216037514G&gt;T</t>
  </si>
  <si>
    <t>chr1:216061150C&gt;A</t>
  </si>
  <si>
    <t>chr1:216064128C&gt;A</t>
  </si>
  <si>
    <t>chr1:216074349T&gt;C</t>
  </si>
  <si>
    <t>chr1:216079987G&gt;A</t>
  </si>
  <si>
    <t>chr1:216088534T&gt;G</t>
  </si>
  <si>
    <t>chr1:216090430G&gt;T</t>
  </si>
  <si>
    <t>chr1:216102132G&gt;C</t>
  </si>
  <si>
    <t>chr1:216105070C&gt;T</t>
  </si>
  <si>
    <t>chr1:216114700C&gt;A</t>
  </si>
  <si>
    <t>chr1:216126689C&gt;CAAT</t>
  </si>
  <si>
    <t>chr1:216129805T&gt;C</t>
  </si>
  <si>
    <t>chr1:216138922ATGTG&gt;A</t>
  </si>
  <si>
    <t>chr1:216140523G&gt;A</t>
  </si>
  <si>
    <t>chr1:216146040G&gt;A</t>
  </si>
  <si>
    <t>chr1:216182618T&gt;G</t>
  </si>
  <si>
    <t>chr1:216189610TAA&gt;T</t>
  </si>
  <si>
    <t>chr1:216193357G&gt;A</t>
  </si>
  <si>
    <t>chr1:216194178G&gt;T</t>
  </si>
  <si>
    <t>chr1:216194179G&gt;T</t>
  </si>
  <si>
    <t>chr1:216194180A&gt;T</t>
  </si>
  <si>
    <t>chr1:216211940C&gt;T</t>
  </si>
  <si>
    <t>chr1:216229846A&gt;T</t>
  </si>
  <si>
    <t>chr1:216240005G&gt;T</t>
  </si>
  <si>
    <t>chr1:216242048T&gt;G</t>
  </si>
  <si>
    <t>chr1:216243452T&gt;C</t>
  </si>
  <si>
    <t>chr1:216243646T&gt;C</t>
  </si>
  <si>
    <t>chr1:216245532A&gt;T</t>
  </si>
  <si>
    <t>chr1:216272559G&gt;C</t>
  </si>
  <si>
    <t>chr1:216282592T&gt;A</t>
  </si>
  <si>
    <t>chr1:216282990A&gt;G</t>
  </si>
  <si>
    <t>chr1:216337476C&gt;T</t>
  </si>
  <si>
    <t>chr1:216358257T&gt;C</t>
  </si>
  <si>
    <t>chr1:216362760T&gt;C</t>
  </si>
  <si>
    <t>chr1:216362771C&gt;A</t>
  </si>
  <si>
    <t>chr1:216362772A&gt;G</t>
  </si>
  <si>
    <t>chr1:216368947T&gt;C</t>
  </si>
  <si>
    <t>chr1:216369740G&gt;A</t>
  </si>
  <si>
    <t>chr1:216370110G&gt;A</t>
  </si>
  <si>
    <t>chr1:216400175C&gt;A</t>
  </si>
  <si>
    <t>chr1:243366393A&gt;G</t>
  </si>
  <si>
    <t>chr1:40089312C&gt;A</t>
  </si>
  <si>
    <t>chr1:935279G&gt;T</t>
  </si>
  <si>
    <t>chr1:93994351G&gt;GT</t>
  </si>
  <si>
    <t>chr1:93997418T&gt;C</t>
  </si>
  <si>
    <t>chr1:93998928T&gt;G</t>
  </si>
  <si>
    <t>chr1:94005663C&gt;T</t>
  </si>
  <si>
    <t>chr1:94008011AAAT&gt;A</t>
  </si>
  <si>
    <t>chr1:94011976A&gt;T</t>
  </si>
  <si>
    <t>chr1:94012459A&gt;C</t>
  </si>
  <si>
    <t>chr1:94019971T&gt;C</t>
  </si>
  <si>
    <t>chr1:94027952C&gt;A</t>
  </si>
  <si>
    <t>chr1:94035176T&gt;C</t>
  </si>
  <si>
    <t>chr1:94038815G&gt;A</t>
  </si>
  <si>
    <t>chr1:94040287G&gt;T</t>
  </si>
  <si>
    <t>chr1:94042116A&gt;G</t>
  </si>
  <si>
    <t>chr1:94046566T&gt;G</t>
  </si>
  <si>
    <t>chr1:94049288C&gt;T</t>
  </si>
  <si>
    <t>chr1:94049290C&gt;T</t>
  </si>
  <si>
    <t>chr1:94050975C&gt;T</t>
  </si>
  <si>
    <t>chr1:94050984G&gt;C</t>
  </si>
  <si>
    <t>chr1:94059539A&gt;G</t>
  </si>
  <si>
    <t>chr1:94060126TC&gt;T</t>
  </si>
  <si>
    <t>chr1:94074470A&gt;G</t>
  </si>
  <si>
    <t>chr1:94075406C&gt;A</t>
  </si>
  <si>
    <t>chr1:94091465T&gt;C</t>
  </si>
  <si>
    <t>chr1:94097229C&gt;T</t>
  </si>
  <si>
    <t>chr1:94103588C&gt;CGAGGG</t>
  </si>
  <si>
    <t>chr1:94111981T&gt;C</t>
  </si>
  <si>
    <t>chr1:94115269C&gt;T</t>
  </si>
  <si>
    <t>chr1:94116845A&gt;C</t>
  </si>
  <si>
    <t>chr1:94117794G&gt;A</t>
  </si>
  <si>
    <t>chr1:9953838C&gt;T</t>
  </si>
  <si>
    <t>chr1:9956947G&gt;T</t>
  </si>
  <si>
    <t>chr1:9963436G&gt;A</t>
  </si>
  <si>
    <t>chr1:9964768T&gt;C</t>
  </si>
  <si>
    <t>chr1:9973961C&gt;G</t>
  </si>
  <si>
    <t>chr1:9973978GATTAC&gt;G</t>
  </si>
  <si>
    <t>chr1:9974327G&gt;A</t>
  </si>
  <si>
    <t>chr1:9976917T&gt;C</t>
  </si>
  <si>
    <t>chr1:9978716A&gt;T</t>
  </si>
  <si>
    <t>chr10:71403334CCTTCCTTCCTTTCTTT&gt;C</t>
  </si>
  <si>
    <t>chr10:71407820C&gt;T</t>
  </si>
  <si>
    <t>chr10:71420292C&gt;T</t>
  </si>
  <si>
    <t>chr10:71429144T&gt;G</t>
  </si>
  <si>
    <t>chr10:71454345C&gt;T</t>
  </si>
  <si>
    <t>chr10:71481681A&gt;G</t>
  </si>
  <si>
    <t>chr10:71485838A&gt;G</t>
  </si>
  <si>
    <t>chr10:71487682A&gt;G</t>
  </si>
  <si>
    <t>chr10:71488512T&gt;C</t>
  </si>
  <si>
    <t>chr10:71492087G&gt;A</t>
  </si>
  <si>
    <t>chr10:71517560G&gt;GC</t>
  </si>
  <si>
    <t>chr10:71537844T&gt;TTA</t>
  </si>
  <si>
    <t>chr10:71544113T&gt;A</t>
  </si>
  <si>
    <t>chr10:71548980C&gt;T</t>
  </si>
  <si>
    <t>chr10:71558282G&gt;A</t>
  </si>
  <si>
    <t>chr10:71561169A&gt;G</t>
  </si>
  <si>
    <t>chr10:71565646T&gt;C</t>
  </si>
  <si>
    <t>chr10:71596793G&gt;A</t>
  </si>
  <si>
    <t>chr10:71610144T&gt;C</t>
  </si>
  <si>
    <t>chr10:71629749G&gt;A</t>
  </si>
  <si>
    <t>chr10:71662388T&gt;C</t>
  </si>
  <si>
    <t>chr10:71664767A&gt;T</t>
  </si>
  <si>
    <t>chr10:71717454A&gt;G</t>
  </si>
  <si>
    <t>chr10:71782185C&gt;T</t>
  </si>
  <si>
    <t>chr10:71792849A&gt;AT</t>
  </si>
  <si>
    <t>chr10:71792850A&gt;ATAT</t>
  </si>
  <si>
    <t>chr10:71809084G&gt;A</t>
  </si>
  <si>
    <t>chr10:71814634C&gt;G</t>
  </si>
  <si>
    <t>chr10:93624410G&gt;C</t>
  </si>
  <si>
    <t>chr11:117317480GACA&gt;G</t>
  </si>
  <si>
    <t>chr11:117337526AGT&gt;A</t>
  </si>
  <si>
    <t>chr11:117368281T&gt;C</t>
  </si>
  <si>
    <t>chr11:117396360G&gt;A</t>
  </si>
  <si>
    <t>chr11:66520317C&gt;A</t>
  </si>
  <si>
    <t>chr11:66525157A&gt;G</t>
  </si>
  <si>
    <t>chr11:77155337A&gt;G</t>
  </si>
  <si>
    <t>chr12:1883521C&gt;T</t>
  </si>
  <si>
    <t>chr12:1892279A&gt;G</t>
  </si>
  <si>
    <t>chr12:88118025A&gt;G</t>
  </si>
  <si>
    <t>chr12:88122802T&gt;C</t>
  </si>
  <si>
    <t>chr12:88139735T&gt;C</t>
  </si>
  <si>
    <t>chr12:89466410T&gt;C</t>
  </si>
  <si>
    <t>chr12:94311588A&gt;T</t>
  </si>
  <si>
    <t>chr12:94379957A&gt;T</t>
  </si>
  <si>
    <t>chr12:94396281CT&gt;C</t>
  </si>
  <si>
    <t>chr14:21302893G&gt;T</t>
  </si>
  <si>
    <t>chr14:76009602A&gt;G</t>
  </si>
  <si>
    <t>chr14:76055980C&gt;G</t>
  </si>
  <si>
    <t>chr14:76057264A&gt;C</t>
  </si>
  <si>
    <t>chr15:31053460G&gt;A</t>
  </si>
  <si>
    <t>chr15:31156227T&gt;A</t>
  </si>
  <si>
    <t>chr15:31156228C&gt;A</t>
  </si>
  <si>
    <t>chr15:71795392G&gt;T</t>
  </si>
  <si>
    <t>chr15:71795408G&gt;A</t>
  </si>
  <si>
    <t>chr15:71795439T&gt;G</t>
  </si>
  <si>
    <t>chr15:71815241G&gt;A</t>
  </si>
  <si>
    <t>chr16:1609167T&gt;G</t>
  </si>
  <si>
    <t>chr16:28480006G&gt;A</t>
  </si>
  <si>
    <t>chr16:49730532G&gt;A</t>
  </si>
  <si>
    <t>chr16:49767752C&gt;T</t>
  </si>
  <si>
    <t>chr16:53624469G&gt;A</t>
  </si>
  <si>
    <t>chr16:53652380C&gt;T</t>
  </si>
  <si>
    <t>chr16:53698990G&gt;A</t>
  </si>
  <si>
    <t>chr17:68277419C&gt;T</t>
  </si>
  <si>
    <t>chr17:68417733A&gt;ATTTTTTTTTT</t>
  </si>
  <si>
    <t>chr18:6982687C&gt;T</t>
  </si>
  <si>
    <t>chr18:6982818T&gt;G</t>
  </si>
  <si>
    <t>chr18:7058188A&gt;G</t>
  </si>
  <si>
    <t>chr18:7112975A&gt;G</t>
  </si>
  <si>
    <t>chr2:111907538A&gt;G</t>
  </si>
  <si>
    <t>chr2:111927545G&gt;C</t>
  </si>
  <si>
    <t>chr2:181630686G&gt;A</t>
  </si>
  <si>
    <t>chr2:231734826G&gt;A</t>
  </si>
  <si>
    <t>chr2:231734844C&gt;A</t>
  </si>
  <si>
    <t>chr2:231742262C&gt;T</t>
  </si>
  <si>
    <t>chr2:231742269G&gt;T</t>
  </si>
  <si>
    <t>chr2:231742271A&gt;G</t>
  </si>
  <si>
    <t>chr2:231755529T&gt;C</t>
  </si>
  <si>
    <t>chr2:231755537G&gt;A</t>
  </si>
  <si>
    <t>chr2:231755538T&gt;C</t>
  </si>
  <si>
    <t>chr2:61022226T&gt;C</t>
  </si>
  <si>
    <t>chr2:73415588G&gt;A</t>
  </si>
  <si>
    <t>chr2:73492053T&gt;C</t>
  </si>
  <si>
    <t>chr22:41469782T&gt;C</t>
  </si>
  <si>
    <t>chr22:41512924C&gt;A</t>
  </si>
  <si>
    <t>chr3:101255652CT&gt;C</t>
  </si>
  <si>
    <t>chr3:170505802C&gt;G</t>
  </si>
  <si>
    <t>chr3:170562486A&gt;T</t>
  </si>
  <si>
    <t>chr3:170562493A&gt;T</t>
  </si>
  <si>
    <t>chr4:127894590A&gt;T</t>
  </si>
  <si>
    <t>chr4:15594473A&gt;G</t>
  </si>
  <si>
    <t>chr4:15990725C&gt;G</t>
  </si>
  <si>
    <t>chr4:16012792A&gt;C</t>
  </si>
  <si>
    <t>chr4:39200185T&gt;A</t>
  </si>
  <si>
    <t>chr4:39200194C&gt;A</t>
  </si>
  <si>
    <t>chr4:39223580G&gt;T</t>
  </si>
  <si>
    <t>chr4:39263789T&gt;C</t>
  </si>
  <si>
    <t>chr4:47972634T&gt;A</t>
  </si>
  <si>
    <t>chr4:6285222AGGGGCGTCCAGGAAGAGGGGC&gt;A</t>
  </si>
  <si>
    <t>chr4:6292206C&gt;T</t>
  </si>
  <si>
    <t>chr4:6298518T&gt;C</t>
  </si>
  <si>
    <t>chr4:630381G&gt;A</t>
  </si>
  <si>
    <t>chr4:646709G&gt;A</t>
  </si>
  <si>
    <t>chr4:649633G&gt;A</t>
  </si>
  <si>
    <t>chr4:658223A&gt;G</t>
  </si>
  <si>
    <t>chr4:661323C&gt;G</t>
  </si>
  <si>
    <t>chr4:663645G&gt;C</t>
  </si>
  <si>
    <t>chr4:664491C&gt;A</t>
  </si>
  <si>
    <t>chr5:149895639A&gt;C</t>
  </si>
  <si>
    <t>chr5:149914599C&gt;T</t>
  </si>
  <si>
    <t>chr5:37157971C&gt;A</t>
  </si>
  <si>
    <t>chr5:37175449G&gt;A</t>
  </si>
  <si>
    <t>chr5:90657808T&gt;C</t>
  </si>
  <si>
    <t>chr5:90688489G&gt;A</t>
  </si>
  <si>
    <t>chr5:90722437G&gt;A</t>
  </si>
  <si>
    <t>chr5:90728978C&gt;A</t>
  </si>
  <si>
    <t>chr5:90737800T&gt;G</t>
  </si>
  <si>
    <t>chr5:90779420A&gt;T</t>
  </si>
  <si>
    <t>chr5:90797750G&gt;A</t>
  </si>
  <si>
    <t>chr5:90803447GCTGTTAT&gt;G</t>
  </si>
  <si>
    <t>chr5:90813133A&gt;C</t>
  </si>
  <si>
    <t>chr5:90813135A&gt;ATC</t>
  </si>
  <si>
    <t>chr5:90825260T&gt;C</t>
  </si>
  <si>
    <t>chr5:90829307T&gt;G</t>
  </si>
  <si>
    <t>chr5:90849670G&gt;A</t>
  </si>
  <si>
    <t>chr5:90855412A&gt;C</t>
  </si>
  <si>
    <t>chr5:90893482G&gt;A</t>
  </si>
  <si>
    <t>chr5:90896189A&gt;G</t>
  </si>
  <si>
    <t>chr5:90902756A&gt;G</t>
  </si>
  <si>
    <t>chr5:90933458C&gt;A</t>
  </si>
  <si>
    <t>chr5:90953258C&gt;G</t>
  </si>
  <si>
    <t>chr5:90953482C&gt;T</t>
  </si>
  <si>
    <t>chr5:90980649TA&gt;T</t>
  </si>
  <si>
    <t>chr5:90985226C&gt;T</t>
  </si>
  <si>
    <t>chr5:90985304A&gt;G</t>
  </si>
  <si>
    <t>chr5:90995260T&gt;A</t>
  </si>
  <si>
    <t>chr5:90996548C&gt;A</t>
  </si>
  <si>
    <t>chr5:91039673A&gt;C</t>
  </si>
  <si>
    <t>chr5:91042364A&gt;G</t>
  </si>
  <si>
    <t>chr5:91054094T&gt;TGA</t>
  </si>
  <si>
    <t>chr5:91062978A&gt;T</t>
  </si>
  <si>
    <t>chr5:91064158G&gt;A</t>
  </si>
  <si>
    <t>chr5:91072198A&gt;G</t>
  </si>
  <si>
    <t>chr5:91080612C&gt;A</t>
  </si>
  <si>
    <t>chr5:91080615G&gt;T</t>
  </si>
  <si>
    <t>chr5:91101555G&gt;A</t>
  </si>
  <si>
    <t>chr5:91112664T&gt;A</t>
  </si>
  <si>
    <t>chr5:91125276C&gt;T</t>
  </si>
  <si>
    <t>chr5:91128972A&gt;G</t>
  </si>
  <si>
    <t>chr5:91137316C&gt;A</t>
  </si>
  <si>
    <t>chr5:91161526C&gt;A</t>
  </si>
  <si>
    <t>chr6:10773691AT&gt;A</t>
  </si>
  <si>
    <t>chr6:10820641C&gt;T</t>
  </si>
  <si>
    <t>chr6:10837919G&gt;T</t>
  </si>
  <si>
    <t>chr6:136823483G&gt;A</t>
  </si>
  <si>
    <t>chr6:63722031C&gt;T</t>
  </si>
  <si>
    <t>chr6:63727926TA&gt;T</t>
  </si>
  <si>
    <t>chr6:63731025A&gt;G</t>
  </si>
  <si>
    <t>chr6:63731651T&gt;G</t>
  </si>
  <si>
    <t>chr6:63753293C&gt;T</t>
  </si>
  <si>
    <t>chr6:63756330A&gt;G</t>
  </si>
  <si>
    <t>chr6:63767646T&gt;C</t>
  </si>
  <si>
    <t>chr6:63768620T&gt;C</t>
  </si>
  <si>
    <t>chr6:63802426G&gt;C</t>
  </si>
  <si>
    <t>chr6:63811567A&gt;G</t>
  </si>
  <si>
    <t>chr6:63815029A&gt;T</t>
  </si>
  <si>
    <t>chr6:63819201C&gt;T</t>
  </si>
  <si>
    <t>chr6:63824225TA&gt;T</t>
  </si>
  <si>
    <t>chr6:63835259G&gt;GTA</t>
  </si>
  <si>
    <t>chr6:63836585TAGAA&gt;T</t>
  </si>
  <si>
    <t>chr6:63837128CA&gt;C</t>
  </si>
  <si>
    <t>chr6:63843232G&gt;A</t>
  </si>
  <si>
    <t>chr6:63843233T&gt;C</t>
  </si>
  <si>
    <t>chr6:63850227A&gt;T</t>
  </si>
  <si>
    <t>chr6:63852185C&gt;A</t>
  </si>
  <si>
    <t>chr6:63852185C&gt;CAAA</t>
  </si>
  <si>
    <t>chr6:63855760G&gt;A</t>
  </si>
  <si>
    <t>chr6:63862187C&gt;T</t>
  </si>
  <si>
    <t>chr6:63876912C&gt;T</t>
  </si>
  <si>
    <t>chr6:63905629C&gt;A</t>
  </si>
  <si>
    <t>chr6:63921037C&gt;A</t>
  </si>
  <si>
    <t>chr6:63940638A&gt;G</t>
  </si>
  <si>
    <t>chr6:63986586A&gt;T</t>
  </si>
  <si>
    <t>chr6:63986601A&gt;G</t>
  </si>
  <si>
    <t>chr6:63986603A&gt;G</t>
  </si>
  <si>
    <t>chr6:63986617G&gt;T</t>
  </si>
  <si>
    <t>chr6:63986619T&gt;C</t>
  </si>
  <si>
    <t>chr6:63986627GTGGA&gt;G</t>
  </si>
  <si>
    <t>chr6:63986629A&gt;AGAGC</t>
  </si>
  <si>
    <t>chr6:63992096A&gt;G</t>
  </si>
  <si>
    <t>chr6:63995325G&gt;A</t>
  </si>
  <si>
    <t>chr6:64004151A&gt;G</t>
  </si>
  <si>
    <t>chr6:64011402G&gt;A</t>
  </si>
  <si>
    <t>chr6:64012407GC&gt;G</t>
  </si>
  <si>
    <t>chr6:64024854G&gt;A</t>
  </si>
  <si>
    <t>chr6:64037678C&gt;T</t>
  </si>
  <si>
    <t>chr6:64050998G&gt;T</t>
  </si>
  <si>
    <t>chr6:64075096G&gt;C</t>
  </si>
  <si>
    <t>chr6:64079519G&gt;A</t>
  </si>
  <si>
    <t>chr6:64091526G&gt;T</t>
  </si>
  <si>
    <t>chr6:64092766C&gt;A</t>
  </si>
  <si>
    <t>chr6:64093730G&gt;A</t>
  </si>
  <si>
    <t>chr6:64108441G&gt;T</t>
  </si>
  <si>
    <t>chr6:64117336C&gt;A</t>
  </si>
  <si>
    <t>chr6:64125785C&gt;CAA</t>
  </si>
  <si>
    <t>chr6:64139630G&gt;C</t>
  </si>
  <si>
    <t>chr6:64147286T&gt;C</t>
  </si>
  <si>
    <t>chr6:64156448T&gt;G</t>
  </si>
  <si>
    <t>chr6:64156874TTTTTTAA&gt;T</t>
  </si>
  <si>
    <t>chr6:64158201T&gt;G</t>
  </si>
  <si>
    <t>chr6:64183238T&gt;C</t>
  </si>
  <si>
    <t>chr6:64183239A&gt;C</t>
  </si>
  <si>
    <t>chr6:64183243G&gt;A</t>
  </si>
  <si>
    <t>chr6:64191483C&gt;T</t>
  </si>
  <si>
    <t>chr6:64209947A&gt;G</t>
  </si>
  <si>
    <t>chr6:64211089G&gt;A</t>
  </si>
  <si>
    <t>chr6:64219589G&gt;C</t>
  </si>
  <si>
    <t>chr6:64222338C&gt;T</t>
  </si>
  <si>
    <t>chr6:64228794C&gt;T</t>
  </si>
  <si>
    <t>chr6:64231866G&gt;T</t>
  </si>
  <si>
    <t>chr6:64236869C&gt;T</t>
  </si>
  <si>
    <t>chr6:64241106G&gt;A</t>
  </si>
  <si>
    <t>chr6:64251971A&gt;G</t>
  </si>
  <si>
    <t>chr6:64256438C&gt;G</t>
  </si>
  <si>
    <t>chr6:64260191A&gt;C</t>
  </si>
  <si>
    <t>chr6:64274481G&gt;GTGTTT</t>
  </si>
  <si>
    <t>chr6:64276214T&gt;A</t>
  </si>
  <si>
    <t>chr6:64300111T&gt;G</t>
  </si>
  <si>
    <t>chr6:64300501C&gt;T</t>
  </si>
  <si>
    <t>chr6:64319708T&gt;TGGAC</t>
  </si>
  <si>
    <t>chr6:64331132T&gt;C</t>
  </si>
  <si>
    <t>chr6:64341685T&gt;C</t>
  </si>
  <si>
    <t>chr6:64344700G&gt;A</t>
  </si>
  <si>
    <t>chr6:64362989C&gt;T</t>
  </si>
  <si>
    <t>chr6:64362990A&gt;T</t>
  </si>
  <si>
    <t>chr6:64364750A&gt;T</t>
  </si>
  <si>
    <t>chr6:64373598G&gt;C</t>
  </si>
  <si>
    <t>chr6:64373656G&gt;A</t>
  </si>
  <si>
    <t>chr6:64379719G&gt;A</t>
  </si>
  <si>
    <t>chr6:64383130A&gt;G</t>
  </si>
  <si>
    <t>chr6:64386793C&gt;T</t>
  </si>
  <si>
    <t>chr6:64387657G&gt;A</t>
  </si>
  <si>
    <t>chr6:64388939T&gt;A</t>
  </si>
  <si>
    <t>chr6:64397885A&gt;T</t>
  </si>
  <si>
    <t>chr6:64401649A&gt;G</t>
  </si>
  <si>
    <t>chr6:64403213T&gt;A</t>
  </si>
  <si>
    <t>chr6:64403362A&gt;AT</t>
  </si>
  <si>
    <t>chr6:64408655T&gt;G</t>
  </si>
  <si>
    <t>chr6:64410124T&gt;C</t>
  </si>
  <si>
    <t>chr6:64427713T&gt;C</t>
  </si>
  <si>
    <t>chr6:64429828T&gt;C</t>
  </si>
  <si>
    <t>chr6:64450111C&gt;T</t>
  </si>
  <si>
    <t>chr6:64462895T&gt;C</t>
  </si>
  <si>
    <t>chr6:64464281G&gt;A</t>
  </si>
  <si>
    <t>chr6:64467920C&gt;T</t>
  </si>
  <si>
    <t>chr6:64471329T&gt;C</t>
  </si>
  <si>
    <t>chr6:64480953T&gt;C</t>
  </si>
  <si>
    <t>chr6:64486024TA&gt;T</t>
  </si>
  <si>
    <t>chr6:64517087T&gt;C</t>
  </si>
  <si>
    <t>chr6:64532741T&gt;C</t>
  </si>
  <si>
    <t>chr6:64537490A&gt;T</t>
  </si>
  <si>
    <t>chr6:64544116T&gt;C</t>
  </si>
  <si>
    <t>chr6:64544382A&gt;C</t>
  </si>
  <si>
    <t>chr6:64549916G&gt;A</t>
  </si>
  <si>
    <t>chr6:64554280T&gt;C</t>
  </si>
  <si>
    <t>chr6:64554395T&gt;G</t>
  </si>
  <si>
    <t>chr6:64556397G&gt;A</t>
  </si>
  <si>
    <t>chr6:64569045C&gt;A</t>
  </si>
  <si>
    <t>chr6:64570707AG&gt;A</t>
  </si>
  <si>
    <t>chr6:64578870T&gt;C</t>
  </si>
  <si>
    <t>chr6:64613703G&gt;C</t>
  </si>
  <si>
    <t>chr6:64616532G&gt;T</t>
  </si>
  <si>
    <t>chr6:64619675CTGTTT&gt;C</t>
  </si>
  <si>
    <t>chr6:64622576GA&gt;G</t>
  </si>
  <si>
    <t>chr6:64626354A&gt;T</t>
  </si>
  <si>
    <t>chr6:64631587G&gt;A</t>
  </si>
  <si>
    <t>chr6:64632081C&gt;A</t>
  </si>
  <si>
    <t>chr6:64633676T&gt;C</t>
  </si>
  <si>
    <t>chr6:64640401T&gt;A</t>
  </si>
  <si>
    <t>chr6:64653004C&gt;A</t>
  </si>
  <si>
    <t>chr6:64663093C&gt;A</t>
  </si>
  <si>
    <t>chr6:64666594A&gt;G</t>
  </si>
  <si>
    <t>chr6:64679098C&gt;G</t>
  </si>
  <si>
    <t>chr6:64684477G&gt;C</t>
  </si>
  <si>
    <t>chr6:64686507C&gt;T</t>
  </si>
  <si>
    <t>chr6:64690765C&gt;T</t>
  </si>
  <si>
    <t>chr6:64690771T&gt;C</t>
  </si>
  <si>
    <t>chr6:64690776T&gt;C</t>
  </si>
  <si>
    <t>chr6:64690780G&gt;A</t>
  </si>
  <si>
    <t>chr6:64690788T&gt;A</t>
  </si>
  <si>
    <t>chr6:64690795A&gt;C</t>
  </si>
  <si>
    <t>chr6:64690800T&gt;A</t>
  </si>
  <si>
    <t>chr6:64700018C&gt;A</t>
  </si>
  <si>
    <t>chr6:64700599C&gt;A</t>
  </si>
  <si>
    <t>chr6:64714546G&gt;T</t>
  </si>
  <si>
    <t>chr6:64745015A&gt;T</t>
  </si>
  <si>
    <t>chr6:64757627T&gt;A</t>
  </si>
  <si>
    <t>chr6:64757808G&gt;T</t>
  </si>
  <si>
    <t>chr6:64765923A&gt;G</t>
  </si>
  <si>
    <t>chr6:64768174T&gt;C</t>
  </si>
  <si>
    <t>chr6:64768489AT&gt;A</t>
  </si>
  <si>
    <t>chr6:64771923C&gt;T</t>
  </si>
  <si>
    <t>chr6:64782793C&gt;T</t>
  </si>
  <si>
    <t>chr6:64786116T&gt;G</t>
  </si>
  <si>
    <t>chr6:64798647C&gt;A</t>
  </si>
  <si>
    <t>chr6:64799754A&gt;C</t>
  </si>
  <si>
    <t>chr6:64824741CA&gt;C</t>
  </si>
  <si>
    <t>chr6:64825576T&gt;G</t>
  </si>
  <si>
    <t>chr6:64830502G&gt;T</t>
  </si>
  <si>
    <t>chr6:64831497C&gt;A</t>
  </si>
  <si>
    <t>chr6:64839276AT&gt;A</t>
  </si>
  <si>
    <t>chr6:64843913C&gt;T</t>
  </si>
  <si>
    <t>chr6:64846901G&gt;C</t>
  </si>
  <si>
    <t>chr6:64847970G&gt;C</t>
  </si>
  <si>
    <t>chr6:64850677A&gt;G</t>
  </si>
  <si>
    <t>chr6:64850766G&gt;T</t>
  </si>
  <si>
    <t>chr6:64851254G&gt;A</t>
  </si>
  <si>
    <t>chr6:64855506C&gt;T</t>
  </si>
  <si>
    <t>chr6:64864409C&gt;A</t>
  </si>
  <si>
    <t>chr6:64876403G&gt;A</t>
  </si>
  <si>
    <t>chr6:64876498A&gt;G</t>
  </si>
  <si>
    <t>chr6:64877447A&gt;T</t>
  </si>
  <si>
    <t>chr6:64879483G&gt;GA</t>
  </si>
  <si>
    <t>chr6:64889439A&gt;G</t>
  </si>
  <si>
    <t>chr6:64890921A&gt;G</t>
  </si>
  <si>
    <t>chr6:64892902T&gt;C</t>
  </si>
  <si>
    <t>chr6:64907918A&gt;G</t>
  </si>
  <si>
    <t>chr6:64919370A&gt;G</t>
  </si>
  <si>
    <t>chr6:64921578G&gt;A</t>
  </si>
  <si>
    <t>chr6:64938336AAGATATTT&gt;A</t>
  </si>
  <si>
    <t>chr6:64945114G&gt;T</t>
  </si>
  <si>
    <t>chr6:64946032A&gt;G</t>
  </si>
  <si>
    <t>chr6:64962795G&gt;C</t>
  </si>
  <si>
    <t>chr6:64964757T&gt;C</t>
  </si>
  <si>
    <t>chr6:64964760A&gt;T</t>
  </si>
  <si>
    <t>chr6:64964763T&gt;G</t>
  </si>
  <si>
    <t>chr6:64964770A&gt;G</t>
  </si>
  <si>
    <t>chr6:64964784G&gt;C</t>
  </si>
  <si>
    <t>chr6:64964787A&gt;T</t>
  </si>
  <si>
    <t>chr6:64964798A&gt;G</t>
  </si>
  <si>
    <t>chr6:64964807A&gt;G</t>
  </si>
  <si>
    <t>chr6:64972517C&gt;G</t>
  </si>
  <si>
    <t>chr6:64977036G&gt;A</t>
  </si>
  <si>
    <t>chr6:64983973C&gt;T</t>
  </si>
  <si>
    <t>chr6:64990092C&gt;A</t>
  </si>
  <si>
    <t>chr6:64993373T&gt;C</t>
  </si>
  <si>
    <t>chr6:64994291C&gt;A</t>
  </si>
  <si>
    <t>chr6:65006972C&gt;G</t>
  </si>
  <si>
    <t>chr6:65006978G&gt;T</t>
  </si>
  <si>
    <t>chr6:65015642C&gt;T</t>
  </si>
  <si>
    <t>chr6:65020527G&gt;A</t>
  </si>
  <si>
    <t>chr6:65024952C&gt;T</t>
  </si>
  <si>
    <t>chr6:65026583C&gt;T</t>
  </si>
  <si>
    <t>chr6:65039910T&gt;C</t>
  </si>
  <si>
    <t>chr6:65042108C&gt;A</t>
  </si>
  <si>
    <t>chr6:65046842A&gt;G</t>
  </si>
  <si>
    <t>chr6:65053503C&gt;A</t>
  </si>
  <si>
    <t>chr6:65054804T&gt;C</t>
  </si>
  <si>
    <t>chr6:65086544T&gt;C</t>
  </si>
  <si>
    <t>chr6:65089059A&gt;T</t>
  </si>
  <si>
    <t>chr6:65094293C&gt;A</t>
  </si>
  <si>
    <t>chr6:65109529G&gt;A</t>
  </si>
  <si>
    <t>chr6:65109855T&gt;G</t>
  </si>
  <si>
    <t>chr6:65109883T&gt;G</t>
  </si>
  <si>
    <t>chr6:65114367AAGC&gt;A</t>
  </si>
  <si>
    <t>chr6:65119984C&gt;A</t>
  </si>
  <si>
    <t>chr6:65119985T&gt;A</t>
  </si>
  <si>
    <t>chr6:65120486C&gt;A</t>
  </si>
  <si>
    <t>chr6:65121470C&gt;T</t>
  </si>
  <si>
    <t>chr6:65122330A&gt;G</t>
  </si>
  <si>
    <t>chr6:65122468T&gt;A</t>
  </si>
  <si>
    <t>chr6:65132598G&gt;A</t>
  </si>
  <si>
    <t>chr6:65132608A&gt;G</t>
  </si>
  <si>
    <t>chr6:65139077C&gt;T</t>
  </si>
  <si>
    <t>chr6:65139081G&gt;GGGT</t>
  </si>
  <si>
    <t>chr6:65143390A&gt;G</t>
  </si>
  <si>
    <t>chr6:65145395T&gt;G</t>
  </si>
  <si>
    <t>chr6:65148259T&gt;A</t>
  </si>
  <si>
    <t>chr6:65148265T&gt;C</t>
  </si>
  <si>
    <t>chr6:65148272A&gt;C</t>
  </si>
  <si>
    <t>chr6:65149419A&gt;T</t>
  </si>
  <si>
    <t>chr6:65149421A&gt;G</t>
  </si>
  <si>
    <t>chr6:65161046A&gt;T</t>
  </si>
  <si>
    <t>chr6:65161846G&gt;A</t>
  </si>
  <si>
    <t>chr6:65162617T&gt;G</t>
  </si>
  <si>
    <t>chr6:65173769T&gt;C</t>
  </si>
  <si>
    <t>chr6:65198039A&gt;G</t>
  </si>
  <si>
    <t>chr6:65204904CGTATTTATATATTCTGGAAGAAT&gt;C</t>
  </si>
  <si>
    <t>chr6:65224453T&gt;C</t>
  </si>
  <si>
    <t>chr6:65225288T&gt;C</t>
  </si>
  <si>
    <t>chr6:65231486T&gt;C</t>
  </si>
  <si>
    <t>chr6:65238748C&gt;A</t>
  </si>
  <si>
    <t>chr6:65241484C&gt;T</t>
  </si>
  <si>
    <t>chr6:65241531C&gt;A</t>
  </si>
  <si>
    <t>chr6:65262890C&gt;T</t>
  </si>
  <si>
    <t>chr6:65264860C&gt;T</t>
  </si>
  <si>
    <t>chr6:65272169T&gt;C</t>
  </si>
  <si>
    <t>chr6:65277590T&gt;C</t>
  </si>
  <si>
    <t>chr6:65280862A&gt;AT</t>
  </si>
  <si>
    <t>chr6:65283565A&gt;G</t>
  </si>
  <si>
    <t>chr6:65283994G&gt;T</t>
  </si>
  <si>
    <t>chr6:65291375G&gt;T</t>
  </si>
  <si>
    <t>chr6:65296933T&gt;C</t>
  </si>
  <si>
    <t>chr6:65302635A&gt;G</t>
  </si>
  <si>
    <t>chr6:65303224G&gt;A</t>
  </si>
  <si>
    <t>chr6:65313740T&gt;C</t>
  </si>
  <si>
    <t>chr6:65326007C&gt;T</t>
  </si>
  <si>
    <t>chr6:65342380C&gt;T</t>
  </si>
  <si>
    <t>chr6:65345720C&gt;T</t>
  </si>
  <si>
    <t>chr6:65345828C&gt;G</t>
  </si>
  <si>
    <t>chr6:65381647A&gt;C</t>
  </si>
  <si>
    <t>chr6:65403820A&gt;C</t>
  </si>
  <si>
    <t>chr6:65430859G&gt;A</t>
  </si>
  <si>
    <t>chr6:65432614G&gt;A</t>
  </si>
  <si>
    <t>chr6:65434188G&gt;A</t>
  </si>
  <si>
    <t>chr6:65440694T&gt;TA</t>
  </si>
  <si>
    <t>chr6:65441890A&gt;G</t>
  </si>
  <si>
    <t>chr6:65446195C&gt;T</t>
  </si>
  <si>
    <t>chr6:65461026T&gt;G</t>
  </si>
  <si>
    <t>chr6:65468995T&gt;C</t>
  </si>
  <si>
    <t>chr6:65473253T&gt;C</t>
  </si>
  <si>
    <t>chr6:65493399A&gt;G</t>
  </si>
  <si>
    <t>chr6:65499308G&gt;T</t>
  </si>
  <si>
    <t>chr6:65502446C&gt;CG</t>
  </si>
  <si>
    <t>chr6:65517563C&gt;T</t>
  </si>
  <si>
    <t>chr6:65519741G&gt;T</t>
  </si>
  <si>
    <t>chr6:65523440T&gt;C</t>
  </si>
  <si>
    <t>chr6:65540565TA&gt;T</t>
  </si>
  <si>
    <t>chr6:65542538T&gt;A</t>
  </si>
  <si>
    <t>chr6:65542539C&gt;A</t>
  </si>
  <si>
    <t>chr6:65542562T&gt;A</t>
  </si>
  <si>
    <t>chr6:65560354A&gt;C</t>
  </si>
  <si>
    <t>chr6:65581673A&gt;C</t>
  </si>
  <si>
    <t>chr6:65586248T&gt;C</t>
  </si>
  <si>
    <t>chr6:65598246C&gt;T</t>
  </si>
  <si>
    <t>chr6:65606044T&gt;G</t>
  </si>
  <si>
    <t>chr6:65611380G&gt;A</t>
  </si>
  <si>
    <t>chr6:65628312G&gt;T</t>
  </si>
  <si>
    <t>chr6:65633598A&gt;G</t>
  </si>
  <si>
    <t>chr6:65636890C&gt;T</t>
  </si>
  <si>
    <t>chr6:65647467A&gt;T</t>
  </si>
  <si>
    <t>chr6:65649136T&gt;TA</t>
  </si>
  <si>
    <t>chr6:65649179C&gt;A</t>
  </si>
  <si>
    <t>chr6:65655003G&gt;T</t>
  </si>
  <si>
    <t>chr6:65655007G&gt;T</t>
  </si>
  <si>
    <t>chr6:65656915T&gt;C</t>
  </si>
  <si>
    <t>chr6:65689263C&gt;A</t>
  </si>
  <si>
    <t>chr6:79511516C&gt;T</t>
  </si>
  <si>
    <t>chr7:33529954G&gt;C</t>
  </si>
  <si>
    <t>chr8:99027541G&gt;C</t>
  </si>
  <si>
    <t>chr8:99030157C&gt;A</t>
  </si>
  <si>
    <t>chr8:99033081A&gt;T</t>
  </si>
  <si>
    <t>chr8:99038406A&gt;G</t>
  </si>
  <si>
    <t>chr8:99050280C&gt;T</t>
  </si>
  <si>
    <t>chr8:99050281A&gt;G</t>
  </si>
  <si>
    <t>chr8:99050282G&gt;A</t>
  </si>
  <si>
    <t>chr8:99088290G&gt;T</t>
  </si>
  <si>
    <t>chr8:99092616G&gt;A</t>
  </si>
  <si>
    <t>chr8:99119673A&gt;T</t>
  </si>
  <si>
    <t>chr8:99149507A&gt;G</t>
  </si>
  <si>
    <t>chr8:99149510A&gt;G</t>
  </si>
  <si>
    <t>chr8:99154564GC&gt;G</t>
  </si>
  <si>
    <t>chr8:99221288A&gt;C</t>
  </si>
  <si>
    <t>chr8:99221564A&gt;G</t>
  </si>
  <si>
    <t>chr8:99299083C&gt;A</t>
  </si>
  <si>
    <t>chr8:99331565A&gt;C</t>
  </si>
  <si>
    <t>chr8:99381737A&gt;G</t>
  </si>
  <si>
    <t>chr8:99405654G&gt;C</t>
  </si>
  <si>
    <t>chr8:99405667G&gt;C</t>
  </si>
  <si>
    <t>chr8:99416820C&gt;T</t>
  </si>
  <si>
    <t>chr8:99449526A&gt;G</t>
  </si>
  <si>
    <t>chr8:99450522A&gt;G</t>
  </si>
  <si>
    <t>chr8:99455617T&gt;G</t>
  </si>
  <si>
    <t>chr8:99468100G&gt;A</t>
  </si>
  <si>
    <t>chr8:99516825G&gt;T</t>
  </si>
  <si>
    <t>chr8:99551646T&gt;C</t>
  </si>
  <si>
    <t>chr8:99560375C&gt;A</t>
  </si>
  <si>
    <t>chr8:99562280C&gt;A</t>
  </si>
  <si>
    <t>chr8:99592031TG&gt;T</t>
  </si>
  <si>
    <t>chr8:99592094A&gt;T</t>
  </si>
  <si>
    <t>chr8:99592095C&gt;G</t>
  </si>
  <si>
    <t>chr8:99592101T&gt;C</t>
  </si>
  <si>
    <t>chr8:99592102G&gt;A</t>
  </si>
  <si>
    <t>chr8:99592106C&gt;T</t>
  </si>
  <si>
    <t>chr8:99592107A&gt;G</t>
  </si>
  <si>
    <t>chr8:99614639T&gt;C</t>
  </si>
  <si>
    <t>chr8:99624037G&gt;T</t>
  </si>
  <si>
    <t>chr8:99630877T&gt;C</t>
  </si>
  <si>
    <t>chr8:99640069GAAAAGAAA&gt;G</t>
  </si>
  <si>
    <t>chr8:99640481T&gt;C</t>
  </si>
  <si>
    <t>chr8:99699159G&gt;T</t>
  </si>
  <si>
    <t>chr8:99742151C&gt;T</t>
  </si>
  <si>
    <t>chr8:99743606T&gt;A</t>
  </si>
  <si>
    <t>chr8:99743613T&gt;A</t>
  </si>
  <si>
    <t>chr8:99743614C&gt;A</t>
  </si>
  <si>
    <t>chr8:99743615C&gt;A</t>
  </si>
  <si>
    <t>chr8:99749591A&gt;C</t>
  </si>
  <si>
    <t>chr8:99749592G&gt;A</t>
  </si>
  <si>
    <t>chr8:99749598C&gt;T</t>
  </si>
  <si>
    <t>chr8:99749600C&gt;T</t>
  </si>
  <si>
    <t>chr8:99749604T&gt;G</t>
  </si>
  <si>
    <t>chr8:99749607G&gt;A</t>
  </si>
  <si>
    <t>chr8:99749609G&gt;A</t>
  </si>
  <si>
    <t>chr8:99749610T&gt;C</t>
  </si>
  <si>
    <t>chr8:99784577G&gt;A</t>
  </si>
  <si>
    <t>chr9:128645450T&gt;TC</t>
  </si>
  <si>
    <t>AlphaGenome raw_score</t>
  </si>
  <si>
    <t>Cloning representation REF NGS counts</t>
  </si>
  <si>
    <t>Cloning representation ALT NGS counts</t>
  </si>
  <si>
    <t>Normalizaation by cloning input</t>
  </si>
  <si>
    <t>ALT/REF ratio normalized by coefficient</t>
  </si>
  <si>
    <r>
      <t>intron variant (</t>
    </r>
    <r>
      <rPr>
        <b/>
        <sz val="10"/>
        <color theme="3" tint="0.499984740745262"/>
        <rFont val="Aptos Narrow (Body)"/>
      </rPr>
      <t>blue</t>
    </r>
    <r>
      <rPr>
        <b/>
        <sz val="10"/>
        <color theme="1"/>
        <rFont val="Aptos Narrow"/>
        <scheme val="minor"/>
      </rPr>
      <t xml:space="preserve"> - confirmed also with stable transfection, </t>
    </r>
    <r>
      <rPr>
        <b/>
        <sz val="10"/>
        <color rgb="FF7030A0"/>
        <rFont val="Aptos Narrow (Body)"/>
      </rPr>
      <t>magenta</t>
    </r>
    <r>
      <rPr>
        <b/>
        <sz val="10"/>
        <color theme="1"/>
        <rFont val="Aptos Narrow"/>
        <scheme val="minor"/>
      </rPr>
      <t xml:space="preserve"> - too close variants - collision in analysis, </t>
    </r>
    <r>
      <rPr>
        <b/>
        <sz val="10"/>
        <color rgb="FFFF0000"/>
        <rFont val="Aptos Narrow (Body)"/>
      </rPr>
      <t>red</t>
    </r>
    <r>
      <rPr>
        <b/>
        <sz val="10"/>
        <color theme="1"/>
        <rFont val="Aptos Narrow"/>
        <scheme val="minor"/>
      </rPr>
      <t xml:space="preserve"> - periexonic or false positive)</t>
    </r>
  </si>
  <si>
    <t>GGCAGGCAGGAGCAACTCAAGGAAGAGAACCTGTACCAGTACCAGTCGGAGCCCGTGTCTCCCTCGCCGTGTGGATGGGGTGGCCACACCTTCCTCACCGTGTTTTGAGGAGCGAGTGGCCGGAGGCTCAGTAGtGCCTAGCCTAGTGGACATGCCTGGTGTGACCCCATTTCTGCCCCTTCCTTCCTGGCCTGGGTGACAAAGGGAAGTGGGTGAAAGGAGGTGGGCTGGCAGGGAGCATGGGGTGGGAGAGGGTCGGAGAATCTGGAG</t>
  </si>
  <si>
    <t>WDR34</t>
  </si>
  <si>
    <t xml:space="preserve"> chr4:6288828G&gt;T</t>
  </si>
  <si>
    <t>4-6288828-G-T</t>
  </si>
  <si>
    <t>AlphaGenome quantile_score</t>
  </si>
  <si>
    <t>SpliceAI_pred_DS_DG</t>
  </si>
  <si>
    <t>AlphaGenome analysis was done: July 2025</t>
  </si>
  <si>
    <t>SpliceAI analysis done: Nov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</si>
</sst>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E+00"/>
    <numFmt numFmtId="166" formatCode="0.000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theme="0" tint="-0.499984740745262"/>
      <name val="Aptos Narrow"/>
      <scheme val="minor"/>
    </font>
    <font>
      <b/>
      <sz val="10"/>
      <color theme="1"/>
      <name val="Aptos Narrow"/>
      <scheme val="minor"/>
    </font>
    <font>
      <sz val="10"/>
      <color theme="1"/>
      <name val="Aptos Narrow"/>
      <scheme val="minor"/>
    </font>
    <font>
      <b/>
      <sz val="10"/>
      <name val="Calibri"/>
      <family val="2"/>
    </font>
    <font>
      <b/>
      <sz val="10"/>
      <color theme="3" tint="0.499984740745262"/>
      <name val="Aptos Narrow (Body)"/>
    </font>
    <font>
      <b/>
      <sz val="10"/>
      <color rgb="FF7030A0"/>
      <name val="Aptos Narrow (Body)"/>
    </font>
    <font>
      <b/>
      <sz val="10"/>
      <color rgb="FFFF0000"/>
      <name val="Aptos Narrow (Body)"/>
    </font>
    <font>
      <b/>
      <sz val="10"/>
      <name val="Aptos Narrow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scheme val="minor"/>
    </font>
    <font>
      <sz val="10"/>
      <color rgb="FF000000"/>
      <name val="Aptos Narrow"/>
      <family val="2"/>
      <scheme val="minor"/>
    </font>
    <font>
      <sz val="10"/>
      <color rgb="FF000000"/>
      <name val="Calibri"/>
      <family val="2"/>
    </font>
    <font>
      <sz val="10"/>
      <color theme="3" tint="0.499984740745262"/>
      <name val="Aptos Narrow"/>
      <family val="2"/>
      <scheme val="minor"/>
    </font>
    <font>
      <sz val="10"/>
      <color theme="8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0"/>
      <color rgb="FFFF0000"/>
      <name val="Aptos Narrow"/>
      <scheme val="minor"/>
    </font>
    <font>
      <b/>
      <sz val="10"/>
      <color rgb="FFFF0000"/>
      <name val="Aptos Narrow"/>
      <scheme val="minor"/>
    </font>
    <font>
      <sz val="10"/>
      <color rgb="FFFF0000"/>
      <name val="Calibri"/>
      <family val="2"/>
    </font>
    <font>
      <sz val="1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DFF9D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/>
    <xf numFmtId="0" fontId="11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0" fillId="0" borderId="1" xfId="1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3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horizontal="left" vertical="center"/>
    </xf>
    <xf numFmtId="0" fontId="1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11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" fontId="17" fillId="0" borderId="1" xfId="0" applyNumberFormat="1" applyFont="1" applyBorder="1" applyAlignment="1">
      <alignment horizontal="center" vertical="center"/>
    </xf>
    <xf numFmtId="1" fontId="16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9" fillId="0" borderId="1" xfId="1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/>
    </xf>
    <xf numFmtId="3" fontId="10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1" fontId="10" fillId="0" borderId="2" xfId="0" applyNumberFormat="1" applyFont="1" applyBorder="1" applyAlignment="1">
      <alignment horizontal="center" vertical="center"/>
    </xf>
    <xf numFmtId="3" fontId="10" fillId="0" borderId="2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0" fillId="0" borderId="1" xfId="0" applyFont="1" applyBorder="1"/>
    <xf numFmtId="0" fontId="10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17" fillId="0" borderId="0" xfId="0" applyFont="1"/>
    <xf numFmtId="0" fontId="16" fillId="0" borderId="0" xfId="0" applyFont="1"/>
    <xf numFmtId="0" fontId="10" fillId="0" borderId="0" xfId="0" applyFont="1" applyAlignment="1">
      <alignment horizontal="left"/>
    </xf>
    <xf numFmtId="1" fontId="10" fillId="0" borderId="1" xfId="0" applyNumberFormat="1" applyFont="1" applyBorder="1"/>
    <xf numFmtId="3" fontId="10" fillId="0" borderId="1" xfId="0" applyNumberFormat="1" applyFont="1" applyBorder="1"/>
    <xf numFmtId="3" fontId="10" fillId="0" borderId="0" xfId="0" applyNumberFormat="1" applyFont="1"/>
    <xf numFmtId="164" fontId="10" fillId="0" borderId="1" xfId="0" applyNumberFormat="1" applyFont="1" applyBorder="1"/>
    <xf numFmtId="165" fontId="10" fillId="0" borderId="1" xfId="0" applyNumberFormat="1" applyFont="1" applyBorder="1"/>
    <xf numFmtId="166" fontId="10" fillId="0" borderId="1" xfId="0" applyNumberFormat="1" applyFont="1" applyBorder="1"/>
    <xf numFmtId="0" fontId="3" fillId="0" borderId="1" xfId="0" applyFont="1" applyBorder="1"/>
    <xf numFmtId="1" fontId="3" fillId="0" borderId="1" xfId="0" applyNumberFormat="1" applyFont="1" applyBorder="1"/>
    <xf numFmtId="1" fontId="10" fillId="0" borderId="0" xfId="0" applyNumberFormat="1" applyFont="1"/>
  </cellXfs>
  <cellStyles count="2">
    <cellStyle name="Normal" xfId="0" builtinId="0"/>
    <cellStyle name="Обычный 2" xfId="1" xr:uid="{EF07FD94-76BF-D449-9092-57D822BF4B13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DFF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A6D7F-E1E4-0B42-B8D8-CEF55EA2E98C}">
  <sheetPr>
    <pageSetUpPr fitToPage="1"/>
  </sheetPr>
  <dimension ref="A1:AG685"/>
  <sheetViews>
    <sheetView tabSelected="1" zoomScale="119" workbookViewId="0">
      <pane ySplit="1" topLeftCell="A105" activePane="bottomLeft" state="frozen"/>
      <selection activeCell="D1" sqref="D1"/>
      <selection pane="bottomLeft" activeCell="U126" sqref="U126"/>
    </sheetView>
  </sheetViews>
  <sheetFormatPr baseColWidth="10" defaultRowHeight="14" x14ac:dyDescent="0.2"/>
  <cols>
    <col min="1" max="1" width="11.6640625" style="7" customWidth="1"/>
    <col min="2" max="2" width="17.5" style="7" customWidth="1"/>
    <col min="3" max="3" width="15.83203125" style="7" customWidth="1"/>
    <col min="4" max="4" width="31.1640625" style="59" customWidth="1"/>
    <col min="5" max="5" width="27.5" style="7" customWidth="1"/>
    <col min="6" max="6" width="23.1640625" style="59" customWidth="1"/>
    <col min="7" max="7" width="15.83203125" style="7" hidden="1" customWidth="1"/>
    <col min="8" max="8" width="11.33203125" style="7" customWidth="1"/>
    <col min="9" max="9" width="8.83203125" style="68" customWidth="1"/>
    <col min="10" max="10" width="11.1640625" style="68" customWidth="1"/>
    <col min="11" max="11" width="8.5" style="68" customWidth="1"/>
    <col min="12" max="12" width="9.1640625" style="7" customWidth="1"/>
    <col min="13" max="13" width="9" style="7" customWidth="1"/>
    <col min="14" max="14" width="8.5" style="7" customWidth="1"/>
    <col min="15" max="15" width="6.83203125" style="7" customWidth="1"/>
    <col min="16" max="16" width="8.1640625" style="7" customWidth="1"/>
    <col min="17" max="17" width="8.6640625" style="7" customWidth="1"/>
    <col min="18" max="18" width="9.1640625" style="7" customWidth="1"/>
    <col min="19" max="19" width="7.83203125" style="7" customWidth="1"/>
    <col min="20" max="20" width="8" style="7" customWidth="1"/>
    <col min="21" max="21" width="10.83203125" style="7" customWidth="1"/>
    <col min="22" max="22" width="8.5" style="7" customWidth="1"/>
    <col min="23" max="23" width="8.33203125" style="7" customWidth="1"/>
    <col min="24" max="25" width="8.6640625" style="7" customWidth="1"/>
    <col min="26" max="28" width="9" style="7" customWidth="1"/>
    <col min="29" max="29" width="8.6640625" style="7" customWidth="1"/>
    <col min="30" max="30" width="10.33203125" style="7" customWidth="1"/>
    <col min="31" max="31" width="11.1640625" style="7" customWidth="1"/>
    <col min="32" max="32" width="12.1640625" style="7" customWidth="1"/>
    <col min="33" max="16384" width="10.83203125" style="7"/>
  </cols>
  <sheetData>
    <row r="1" spans="1:33" s="56" customFormat="1" ht="68" customHeight="1" x14ac:dyDescent="0.2">
      <c r="A1" s="44" t="s">
        <v>2095</v>
      </c>
      <c r="B1" s="43" t="s">
        <v>2094</v>
      </c>
      <c r="C1" s="45" t="s">
        <v>2858</v>
      </c>
      <c r="D1" s="42" t="s">
        <v>3537</v>
      </c>
      <c r="E1" s="42" t="s">
        <v>1</v>
      </c>
      <c r="F1" s="42" t="s">
        <v>2093</v>
      </c>
      <c r="G1" s="42" t="s">
        <v>0</v>
      </c>
      <c r="H1" s="39" t="s">
        <v>3533</v>
      </c>
      <c r="I1" s="39" t="s">
        <v>2856</v>
      </c>
      <c r="J1" s="39" t="s">
        <v>3534</v>
      </c>
      <c r="K1" s="39" t="s">
        <v>2857</v>
      </c>
      <c r="L1" s="39" t="s">
        <v>2</v>
      </c>
      <c r="M1" s="39" t="s">
        <v>3</v>
      </c>
      <c r="N1" s="39" t="s">
        <v>4</v>
      </c>
      <c r="O1" s="39" t="s">
        <v>5</v>
      </c>
      <c r="P1" s="39" t="s">
        <v>6</v>
      </c>
      <c r="Q1" s="39" t="s">
        <v>7</v>
      </c>
      <c r="R1" s="39" t="s">
        <v>8</v>
      </c>
      <c r="S1" s="39" t="s">
        <v>9</v>
      </c>
      <c r="T1" s="39" t="s">
        <v>3535</v>
      </c>
      <c r="U1" s="40" t="s">
        <v>3536</v>
      </c>
      <c r="V1" s="1" t="s">
        <v>10</v>
      </c>
      <c r="W1" s="1" t="s">
        <v>11</v>
      </c>
      <c r="X1" s="1" t="s">
        <v>12</v>
      </c>
      <c r="Y1" s="1" t="s">
        <v>13</v>
      </c>
      <c r="Z1" s="2" t="s">
        <v>14</v>
      </c>
      <c r="AA1" s="1" t="s">
        <v>15</v>
      </c>
      <c r="AB1" s="2" t="s">
        <v>3543</v>
      </c>
      <c r="AC1" s="1" t="s">
        <v>16</v>
      </c>
      <c r="AD1" s="50" t="s">
        <v>3545</v>
      </c>
      <c r="AE1" s="41" t="s">
        <v>3532</v>
      </c>
      <c r="AF1" s="41" t="s">
        <v>3542</v>
      </c>
      <c r="AG1" s="3" t="s">
        <v>3544</v>
      </c>
    </row>
    <row r="2" spans="1:33" x14ac:dyDescent="0.2">
      <c r="A2" s="53" t="s">
        <v>2675</v>
      </c>
      <c r="B2" s="53" t="s">
        <v>2676</v>
      </c>
      <c r="C2" s="54" t="s">
        <v>3113</v>
      </c>
      <c r="D2" s="16" t="s">
        <v>1310</v>
      </c>
      <c r="E2" s="4" t="s">
        <v>1312</v>
      </c>
      <c r="F2" s="4" t="s">
        <v>1311</v>
      </c>
      <c r="G2" s="4" t="s">
        <v>249</v>
      </c>
      <c r="H2" s="4">
        <v>4293</v>
      </c>
      <c r="I2" s="5">
        <f t="shared" ref="I2:I65" si="0">H2/H$677*1000000</f>
        <v>3352.2065765092543</v>
      </c>
      <c r="J2" s="4">
        <v>873</v>
      </c>
      <c r="K2" s="5">
        <f t="shared" ref="K2:K65" si="1">J2/J$677*1000000</f>
        <v>471.30772507373297</v>
      </c>
      <c r="L2" s="5">
        <v>0</v>
      </c>
      <c r="M2" s="5">
        <v>1</v>
      </c>
      <c r="N2" s="4">
        <v>0</v>
      </c>
      <c r="O2" s="5">
        <f t="shared" ref="O2:O65" si="2">AVERAGE(L2:N2)</f>
        <v>0.33333333333333331</v>
      </c>
      <c r="P2" s="4">
        <v>2343</v>
      </c>
      <c r="Q2" s="4">
        <v>2066</v>
      </c>
      <c r="R2" s="4">
        <v>2146</v>
      </c>
      <c r="S2" s="5">
        <f t="shared" ref="S2:S65" si="3">AVERAGE(P2:R2)</f>
        <v>2185</v>
      </c>
      <c r="T2" s="5">
        <f t="shared" ref="T2:T65" si="4">K2/I2</f>
        <v>0.14059626527089472</v>
      </c>
      <c r="U2" s="5">
        <f t="shared" ref="U2:U65" si="5">S2/((O2+1)*T2)</f>
        <v>11655.715013784529</v>
      </c>
      <c r="V2" s="4">
        <v>41</v>
      </c>
      <c r="W2" s="4">
        <v>-4</v>
      </c>
      <c r="X2" s="4">
        <v>-48</v>
      </c>
      <c r="Y2" s="4">
        <v>-41</v>
      </c>
      <c r="Z2" s="4">
        <v>0</v>
      </c>
      <c r="AA2" s="4">
        <v>0</v>
      </c>
      <c r="AB2" s="4">
        <v>0</v>
      </c>
      <c r="AC2" s="4">
        <v>0</v>
      </c>
      <c r="AD2" s="4"/>
      <c r="AE2" s="54">
        <v>2.2053718566894531E-4</v>
      </c>
      <c r="AF2" s="54">
        <v>0.32259750366210938</v>
      </c>
    </row>
    <row r="3" spans="1:33" x14ac:dyDescent="0.2">
      <c r="A3" s="53" t="s">
        <v>2683</v>
      </c>
      <c r="B3" s="53" t="s">
        <v>2707</v>
      </c>
      <c r="C3" s="54" t="s">
        <v>2886</v>
      </c>
      <c r="D3" s="14" t="s">
        <v>1332</v>
      </c>
      <c r="E3" s="4" t="s">
        <v>1334</v>
      </c>
      <c r="F3" s="4" t="s">
        <v>1333</v>
      </c>
      <c r="G3" s="4" t="s">
        <v>34</v>
      </c>
      <c r="H3" s="4">
        <v>2983</v>
      </c>
      <c r="I3" s="5">
        <f t="shared" si="0"/>
        <v>2329.2877283314942</v>
      </c>
      <c r="J3" s="4">
        <v>1444</v>
      </c>
      <c r="K3" s="5">
        <f t="shared" si="1"/>
        <v>779.57428981268083</v>
      </c>
      <c r="L3" s="5">
        <v>1</v>
      </c>
      <c r="M3" s="5">
        <v>0</v>
      </c>
      <c r="N3" s="4">
        <v>0</v>
      </c>
      <c r="O3" s="5">
        <f t="shared" si="2"/>
        <v>0.33333333333333331</v>
      </c>
      <c r="P3" s="4">
        <v>2662</v>
      </c>
      <c r="Q3" s="4">
        <v>3292</v>
      </c>
      <c r="R3" s="4">
        <v>1904</v>
      </c>
      <c r="S3" s="5">
        <f t="shared" si="3"/>
        <v>2619.3333333333335</v>
      </c>
      <c r="T3" s="5">
        <f t="shared" si="4"/>
        <v>0.33468355168431779</v>
      </c>
      <c r="U3" s="5">
        <f t="shared" si="5"/>
        <v>5869.723773736474</v>
      </c>
      <c r="V3" s="4">
        <v>10</v>
      </c>
      <c r="W3" s="4">
        <v>0</v>
      </c>
      <c r="X3" s="4">
        <v>10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/>
      <c r="AE3" s="54">
        <v>-2.0599365234375E-4</v>
      </c>
      <c r="AF3" s="54">
        <v>-0.30177533626556402</v>
      </c>
    </row>
    <row r="4" spans="1:33" x14ac:dyDescent="0.2">
      <c r="A4" s="53" t="s">
        <v>2675</v>
      </c>
      <c r="B4" s="53" t="s">
        <v>2674</v>
      </c>
      <c r="C4" s="54" t="s">
        <v>3114</v>
      </c>
      <c r="D4" s="16" t="s">
        <v>1271</v>
      </c>
      <c r="E4" s="4" t="s">
        <v>1273</v>
      </c>
      <c r="F4" s="4" t="s">
        <v>1272</v>
      </c>
      <c r="G4" s="4" t="s">
        <v>249</v>
      </c>
      <c r="H4" s="4">
        <v>2989</v>
      </c>
      <c r="I4" s="5">
        <f t="shared" si="0"/>
        <v>2333.9728528269652</v>
      </c>
      <c r="J4" s="4">
        <v>2285</v>
      </c>
      <c r="K4" s="5">
        <f t="shared" si="1"/>
        <v>1233.6061303476288</v>
      </c>
      <c r="L4" s="5">
        <v>0</v>
      </c>
      <c r="M4" s="5">
        <v>0</v>
      </c>
      <c r="N4" s="4">
        <v>0</v>
      </c>
      <c r="O4" s="5">
        <f t="shared" si="2"/>
        <v>0</v>
      </c>
      <c r="P4" s="5">
        <v>4418</v>
      </c>
      <c r="Q4" s="5">
        <v>2385.1518091360276</v>
      </c>
      <c r="R4" s="5">
        <v>361.5</v>
      </c>
      <c r="S4" s="5">
        <f t="shared" si="3"/>
        <v>2388.2172697120091</v>
      </c>
      <c r="T4" s="5">
        <f t="shared" si="4"/>
        <v>0.52854347849567096</v>
      </c>
      <c r="U4" s="5">
        <f t="shared" si="5"/>
        <v>4518.4878196005775</v>
      </c>
      <c r="V4" s="4">
        <v>-38</v>
      </c>
      <c r="W4" s="4">
        <v>-1</v>
      </c>
      <c r="X4" s="4">
        <v>-38</v>
      </c>
      <c r="Y4" s="4">
        <v>-30</v>
      </c>
      <c r="Z4" s="4">
        <v>0</v>
      </c>
      <c r="AA4" s="4">
        <v>0</v>
      </c>
      <c r="AB4" s="4">
        <v>0</v>
      </c>
      <c r="AC4" s="4">
        <v>0</v>
      </c>
      <c r="AD4" s="4"/>
      <c r="AE4" s="54">
        <v>1.755952835083008E-3</v>
      </c>
      <c r="AF4" s="54">
        <v>0.84383666515350342</v>
      </c>
    </row>
    <row r="5" spans="1:33" x14ac:dyDescent="0.2">
      <c r="A5" s="53" t="s">
        <v>2543</v>
      </c>
      <c r="B5" s="53" t="s">
        <v>2542</v>
      </c>
      <c r="C5" s="54" t="s">
        <v>3072</v>
      </c>
      <c r="D5" s="13" t="s">
        <v>1137</v>
      </c>
      <c r="E5" s="4" t="s">
        <v>1139</v>
      </c>
      <c r="F5" s="4" t="s">
        <v>1138</v>
      </c>
      <c r="G5" s="4" t="s">
        <v>50</v>
      </c>
      <c r="H5" s="4">
        <v>1816</v>
      </c>
      <c r="I5" s="5">
        <f t="shared" si="0"/>
        <v>1418.0310139624519</v>
      </c>
      <c r="J5" s="4">
        <v>898</v>
      </c>
      <c r="K5" s="5">
        <f t="shared" si="1"/>
        <v>484.80450986965883</v>
      </c>
      <c r="L5" s="5">
        <v>0</v>
      </c>
      <c r="M5" s="5">
        <v>0</v>
      </c>
      <c r="N5" s="4">
        <v>0</v>
      </c>
      <c r="O5" s="5">
        <f t="shared" si="2"/>
        <v>0</v>
      </c>
      <c r="P5" s="5">
        <v>1340</v>
      </c>
      <c r="Q5" s="5">
        <v>723.427665061629</v>
      </c>
      <c r="R5" s="5">
        <v>265.5</v>
      </c>
      <c r="S5" s="5">
        <f t="shared" si="3"/>
        <v>776.30922168720963</v>
      </c>
      <c r="T5" s="5">
        <f t="shared" si="4"/>
        <v>0.34188568874453124</v>
      </c>
      <c r="U5" s="5">
        <f t="shared" si="5"/>
        <v>2270.6689611313172</v>
      </c>
      <c r="V5" s="4">
        <v>-1</v>
      </c>
      <c r="W5" s="4">
        <v>-20</v>
      </c>
      <c r="X5" s="4">
        <v>1</v>
      </c>
      <c r="Y5" s="4">
        <v>41</v>
      </c>
      <c r="Z5" s="4">
        <v>0</v>
      </c>
      <c r="AA5" s="4">
        <v>0</v>
      </c>
      <c r="AB5" s="4">
        <v>0</v>
      </c>
      <c r="AC5" s="4">
        <v>0</v>
      </c>
      <c r="AD5" s="4"/>
      <c r="AE5" s="54">
        <v>4.9066543579101562E-4</v>
      </c>
      <c r="AF5" s="54">
        <v>0.53695803880691528</v>
      </c>
    </row>
    <row r="6" spans="1:33" x14ac:dyDescent="0.2">
      <c r="A6" s="53" t="s">
        <v>2097</v>
      </c>
      <c r="B6" s="53" t="s">
        <v>2122</v>
      </c>
      <c r="C6" s="54" t="s">
        <v>2989</v>
      </c>
      <c r="D6" s="13" t="s">
        <v>192</v>
      </c>
      <c r="E6" s="4" t="s">
        <v>194</v>
      </c>
      <c r="F6" s="4" t="s">
        <v>193</v>
      </c>
      <c r="G6" s="4" t="s">
        <v>27</v>
      </c>
      <c r="H6" s="4">
        <v>1704</v>
      </c>
      <c r="I6" s="5">
        <f t="shared" si="0"/>
        <v>1330.5753567136662</v>
      </c>
      <c r="J6" s="4">
        <v>2207</v>
      </c>
      <c r="K6" s="5">
        <f t="shared" si="1"/>
        <v>1191.4961617843398</v>
      </c>
      <c r="L6" s="5">
        <v>0</v>
      </c>
      <c r="M6" s="5">
        <v>0</v>
      </c>
      <c r="N6" s="4">
        <v>0</v>
      </c>
      <c r="O6" s="5">
        <f t="shared" si="2"/>
        <v>0</v>
      </c>
      <c r="P6" s="5">
        <v>1798</v>
      </c>
      <c r="Q6" s="5">
        <v>1403.9756404760399</v>
      </c>
      <c r="R6" s="5">
        <v>2890</v>
      </c>
      <c r="S6" s="5">
        <f t="shared" si="3"/>
        <v>2030.6585468253468</v>
      </c>
      <c r="T6" s="5">
        <f t="shared" si="4"/>
        <v>0.89547439442074717</v>
      </c>
      <c r="U6" s="5">
        <f t="shared" si="5"/>
        <v>2267.6902427108625</v>
      </c>
      <c r="V6" s="4">
        <v>30</v>
      </c>
      <c r="W6" s="4" t="s">
        <v>21</v>
      </c>
      <c r="X6" s="4" t="s">
        <v>21</v>
      </c>
      <c r="Y6" s="4">
        <v>443</v>
      </c>
      <c r="Z6" s="4">
        <v>0</v>
      </c>
      <c r="AA6" s="4">
        <v>0</v>
      </c>
      <c r="AB6" s="4">
        <v>0</v>
      </c>
      <c r="AC6" s="4">
        <v>0</v>
      </c>
      <c r="AD6" s="4"/>
      <c r="AE6" s="54">
        <v>9.2983245849609375E-6</v>
      </c>
      <c r="AF6" s="54">
        <v>5.7616055011749268E-2</v>
      </c>
    </row>
    <row r="7" spans="1:33" x14ac:dyDescent="0.2">
      <c r="A7" s="53" t="s">
        <v>2243</v>
      </c>
      <c r="B7" s="53" t="s">
        <v>2259</v>
      </c>
      <c r="C7" s="54" t="s">
        <v>3459</v>
      </c>
      <c r="D7" s="13" t="s">
        <v>366</v>
      </c>
      <c r="E7" s="4" t="s">
        <v>368</v>
      </c>
      <c r="F7" s="4" t="s">
        <v>367</v>
      </c>
      <c r="G7" s="4" t="s">
        <v>427</v>
      </c>
      <c r="H7" s="4">
        <v>915</v>
      </c>
      <c r="I7" s="5">
        <f t="shared" si="0"/>
        <v>714.48148555927503</v>
      </c>
      <c r="J7" s="4">
        <v>2556</v>
      </c>
      <c r="K7" s="5">
        <f t="shared" si="1"/>
        <v>1379.9112775354654</v>
      </c>
      <c r="L7" s="5">
        <v>0</v>
      </c>
      <c r="M7" s="5">
        <v>0</v>
      </c>
      <c r="N7" s="4">
        <v>0</v>
      </c>
      <c r="O7" s="5">
        <f t="shared" si="2"/>
        <v>0</v>
      </c>
      <c r="P7" s="4">
        <v>3955</v>
      </c>
      <c r="Q7" s="4">
        <v>4260</v>
      </c>
      <c r="R7" s="4">
        <v>3208</v>
      </c>
      <c r="S7" s="5">
        <f t="shared" si="3"/>
        <v>3807.6666666666665</v>
      </c>
      <c r="T7" s="5">
        <f t="shared" si="4"/>
        <v>1.9313464455349905</v>
      </c>
      <c r="U7" s="5">
        <f t="shared" si="5"/>
        <v>1971.5088794501228</v>
      </c>
      <c r="V7" s="4">
        <v>-34</v>
      </c>
      <c r="W7" s="4">
        <v>29</v>
      </c>
      <c r="X7" s="4">
        <v>17</v>
      </c>
      <c r="Y7" s="4">
        <v>29</v>
      </c>
      <c r="Z7" s="4">
        <v>0</v>
      </c>
      <c r="AA7" s="4">
        <v>0</v>
      </c>
      <c r="AB7" s="4">
        <v>0</v>
      </c>
      <c r="AC7" s="4">
        <v>0</v>
      </c>
      <c r="AD7" s="4"/>
      <c r="AE7" s="54">
        <v>1.8637180328369141E-3</v>
      </c>
      <c r="AF7" s="54">
        <v>0.85661661624908447</v>
      </c>
    </row>
    <row r="8" spans="1:33" x14ac:dyDescent="0.2">
      <c r="A8" s="53" t="s">
        <v>2683</v>
      </c>
      <c r="B8" s="53" t="s">
        <v>2687</v>
      </c>
      <c r="C8" s="54" t="s">
        <v>2906</v>
      </c>
      <c r="D8" s="13" t="s">
        <v>1313</v>
      </c>
      <c r="E8" s="4" t="s">
        <v>1315</v>
      </c>
      <c r="F8" s="4" t="s">
        <v>1314</v>
      </c>
      <c r="G8" s="15" t="s">
        <v>188</v>
      </c>
      <c r="H8" s="4">
        <v>3886</v>
      </c>
      <c r="I8" s="5">
        <f t="shared" si="0"/>
        <v>3034.3989648998281</v>
      </c>
      <c r="J8" s="4">
        <v>694</v>
      </c>
      <c r="K8" s="5">
        <f t="shared" si="1"/>
        <v>374.67074593490338</v>
      </c>
      <c r="L8" s="5">
        <v>0</v>
      </c>
      <c r="M8" s="5">
        <v>0</v>
      </c>
      <c r="N8" s="4">
        <v>0</v>
      </c>
      <c r="O8" s="5">
        <f t="shared" si="2"/>
        <v>0</v>
      </c>
      <c r="P8" s="4">
        <v>280</v>
      </c>
      <c r="Q8" s="4">
        <v>291</v>
      </c>
      <c r="R8" s="4">
        <v>142</v>
      </c>
      <c r="S8" s="5">
        <f t="shared" si="3"/>
        <v>237.66666666666666</v>
      </c>
      <c r="T8" s="5">
        <f t="shared" si="4"/>
        <v>0.12347445087771181</v>
      </c>
      <c r="U8" s="5">
        <f t="shared" si="5"/>
        <v>1924.8246497734983</v>
      </c>
      <c r="V8" s="4">
        <v>-2</v>
      </c>
      <c r="W8" s="4">
        <v>18</v>
      </c>
      <c r="X8" s="4">
        <v>-30</v>
      </c>
      <c r="Y8" s="4">
        <v>-12</v>
      </c>
      <c r="Z8" s="4">
        <v>0</v>
      </c>
      <c r="AA8" s="4">
        <v>0</v>
      </c>
      <c r="AB8" s="4">
        <v>0</v>
      </c>
      <c r="AC8" s="4">
        <v>0</v>
      </c>
      <c r="AD8" s="4"/>
      <c r="AE8" s="54">
        <v>-9.5605850219726562E-4</v>
      </c>
      <c r="AF8" s="54">
        <v>-0.66821938753128052</v>
      </c>
    </row>
    <row r="9" spans="1:33" x14ac:dyDescent="0.2">
      <c r="A9" s="53" t="s">
        <v>2243</v>
      </c>
      <c r="B9" s="53" t="s">
        <v>2440</v>
      </c>
      <c r="C9" s="54" t="s">
        <v>3263</v>
      </c>
      <c r="D9" s="13" t="s">
        <v>684</v>
      </c>
      <c r="E9" s="4" t="s">
        <v>686</v>
      </c>
      <c r="F9" s="4" t="s">
        <v>685</v>
      </c>
      <c r="G9" s="4" t="s">
        <v>27</v>
      </c>
      <c r="H9" s="4">
        <v>1721</v>
      </c>
      <c r="I9" s="5">
        <f t="shared" si="0"/>
        <v>1343.8498761174997</v>
      </c>
      <c r="J9" s="4">
        <v>1882</v>
      </c>
      <c r="K9" s="5">
        <f t="shared" si="1"/>
        <v>1016.0379594373028</v>
      </c>
      <c r="L9" s="5">
        <v>0</v>
      </c>
      <c r="M9" s="5">
        <v>0</v>
      </c>
      <c r="N9" s="4">
        <v>0</v>
      </c>
      <c r="O9" s="5">
        <f t="shared" si="2"/>
        <v>0</v>
      </c>
      <c r="P9" s="5">
        <v>1960</v>
      </c>
      <c r="Q9" s="5">
        <v>1058.1479280005917</v>
      </c>
      <c r="R9" s="5">
        <v>901.8</v>
      </c>
      <c r="S9" s="5">
        <f t="shared" si="3"/>
        <v>1306.6493093335305</v>
      </c>
      <c r="T9" s="5">
        <f t="shared" si="4"/>
        <v>0.75606507653423738</v>
      </c>
      <c r="U9" s="5">
        <f t="shared" si="5"/>
        <v>1728.223336704219</v>
      </c>
      <c r="V9" s="4">
        <v>3</v>
      </c>
      <c r="W9" s="4">
        <v>4</v>
      </c>
      <c r="X9" s="4">
        <v>40</v>
      </c>
      <c r="Y9" s="4">
        <v>38</v>
      </c>
      <c r="Z9" s="4">
        <v>0</v>
      </c>
      <c r="AA9" s="4">
        <v>0.01</v>
      </c>
      <c r="AB9" s="4">
        <v>0</v>
      </c>
      <c r="AC9" s="4">
        <v>0</v>
      </c>
      <c r="AD9" s="4"/>
      <c r="AE9" s="54">
        <v>-7.5173377990722656E-4</v>
      </c>
      <c r="AF9" s="54">
        <v>-0.59192442893981934</v>
      </c>
    </row>
    <row r="10" spans="1:33" x14ac:dyDescent="0.2">
      <c r="A10" s="53" t="s">
        <v>2243</v>
      </c>
      <c r="B10" s="53" t="s">
        <v>2293</v>
      </c>
      <c r="C10" s="54" t="s">
        <v>3414</v>
      </c>
      <c r="D10" s="13" t="s">
        <v>452</v>
      </c>
      <c r="E10" s="4" t="s">
        <v>454</v>
      </c>
      <c r="F10" s="4" t="s">
        <v>453</v>
      </c>
      <c r="G10" s="4" t="s">
        <v>54</v>
      </c>
      <c r="H10" s="4">
        <v>5199</v>
      </c>
      <c r="I10" s="5">
        <f t="shared" si="0"/>
        <v>4059.6603753253235</v>
      </c>
      <c r="J10" s="4">
        <v>4423</v>
      </c>
      <c r="K10" s="5">
        <f t="shared" si="1"/>
        <v>2387.8511660952131</v>
      </c>
      <c r="L10" s="5">
        <v>0</v>
      </c>
      <c r="M10" s="5">
        <v>0</v>
      </c>
      <c r="N10" s="4">
        <v>0</v>
      </c>
      <c r="O10" s="5">
        <f t="shared" si="2"/>
        <v>0</v>
      </c>
      <c r="P10" s="4">
        <v>880</v>
      </c>
      <c r="Q10" s="4">
        <v>1153</v>
      </c>
      <c r="R10" s="4">
        <v>756</v>
      </c>
      <c r="S10" s="5">
        <f t="shared" si="3"/>
        <v>929.66666666666663</v>
      </c>
      <c r="T10" s="5">
        <f t="shared" si="4"/>
        <v>0.58818988421016893</v>
      </c>
      <c r="U10" s="5">
        <f t="shared" si="5"/>
        <v>1580.5553472158713</v>
      </c>
      <c r="V10" s="4">
        <v>7</v>
      </c>
      <c r="W10" s="4">
        <v>-3</v>
      </c>
      <c r="X10" s="4">
        <v>7</v>
      </c>
      <c r="Y10" s="4">
        <v>31</v>
      </c>
      <c r="Z10" s="4">
        <v>0</v>
      </c>
      <c r="AA10" s="4">
        <v>0</v>
      </c>
      <c r="AB10" s="4">
        <v>0</v>
      </c>
      <c r="AC10" s="4">
        <v>0</v>
      </c>
      <c r="AD10" s="4"/>
      <c r="AE10" s="54">
        <v>-2.4940967559814449E-3</v>
      </c>
      <c r="AF10" s="54">
        <v>-0.91499143838882446</v>
      </c>
    </row>
    <row r="11" spans="1:33" x14ac:dyDescent="0.2">
      <c r="A11" s="53" t="s">
        <v>2587</v>
      </c>
      <c r="B11" s="53" t="s">
        <v>2588</v>
      </c>
      <c r="C11" s="54" t="s">
        <v>3135</v>
      </c>
      <c r="D11" s="13" t="s">
        <v>1239</v>
      </c>
      <c r="E11" s="4" t="s">
        <v>1241</v>
      </c>
      <c r="F11" s="4" t="s">
        <v>1240</v>
      </c>
      <c r="G11" s="4" t="s">
        <v>17</v>
      </c>
      <c r="H11" s="4">
        <v>4704</v>
      </c>
      <c r="I11" s="5">
        <f t="shared" si="0"/>
        <v>3673.1376044489944</v>
      </c>
      <c r="J11" s="4">
        <v>2570</v>
      </c>
      <c r="K11" s="5">
        <f t="shared" si="1"/>
        <v>1387.469477021184</v>
      </c>
      <c r="L11" s="5">
        <v>0</v>
      </c>
      <c r="M11" s="5">
        <v>0</v>
      </c>
      <c r="N11" s="4">
        <v>0</v>
      </c>
      <c r="O11" s="5">
        <f t="shared" si="2"/>
        <v>0</v>
      </c>
      <c r="P11" s="4">
        <v>1152</v>
      </c>
      <c r="Q11" s="4">
        <v>225</v>
      </c>
      <c r="R11" s="4">
        <v>305</v>
      </c>
      <c r="S11" s="5">
        <f t="shared" si="3"/>
        <v>560.66666666666663</v>
      </c>
      <c r="T11" s="5">
        <f t="shared" si="4"/>
        <v>0.37773414079032785</v>
      </c>
      <c r="U11" s="5">
        <f t="shared" si="5"/>
        <v>1484.2890968065308</v>
      </c>
      <c r="V11" s="4">
        <v>-8</v>
      </c>
      <c r="W11" s="4">
        <v>34</v>
      </c>
      <c r="X11" s="4">
        <v>36</v>
      </c>
      <c r="Y11" s="4">
        <v>40</v>
      </c>
      <c r="Z11" s="4">
        <v>0</v>
      </c>
      <c r="AA11" s="4">
        <v>0</v>
      </c>
      <c r="AB11" s="4">
        <v>0</v>
      </c>
      <c r="AC11" s="4">
        <v>0</v>
      </c>
      <c r="AD11" s="4"/>
      <c r="AE11" s="54">
        <v>-1.902580261230469E-4</v>
      </c>
      <c r="AF11" s="54">
        <v>-0.29125374555587769</v>
      </c>
    </row>
    <row r="12" spans="1:33" x14ac:dyDescent="0.2">
      <c r="A12" s="53" t="s">
        <v>2226</v>
      </c>
      <c r="B12" s="53" t="s">
        <v>2228</v>
      </c>
      <c r="C12" s="54" t="s">
        <v>3069</v>
      </c>
      <c r="D12" s="13" t="s">
        <v>346</v>
      </c>
      <c r="E12" s="4" t="s">
        <v>348</v>
      </c>
      <c r="F12" s="4" t="s">
        <v>347</v>
      </c>
      <c r="G12" s="12" t="s">
        <v>22</v>
      </c>
      <c r="H12" s="4">
        <v>5110</v>
      </c>
      <c r="I12" s="5">
        <f t="shared" si="0"/>
        <v>3990.1643619758415</v>
      </c>
      <c r="J12" s="4">
        <v>1353</v>
      </c>
      <c r="K12" s="5">
        <f t="shared" si="1"/>
        <v>730.44599315551045</v>
      </c>
      <c r="L12" s="5">
        <v>1</v>
      </c>
      <c r="M12" s="5">
        <v>0</v>
      </c>
      <c r="N12" s="4">
        <v>0</v>
      </c>
      <c r="O12" s="5">
        <f t="shared" si="2"/>
        <v>0.33333333333333331</v>
      </c>
      <c r="P12" s="4">
        <v>333</v>
      </c>
      <c r="Q12" s="4">
        <v>469</v>
      </c>
      <c r="R12" s="4">
        <v>249</v>
      </c>
      <c r="S12" s="5">
        <f t="shared" si="3"/>
        <v>350.33333333333331</v>
      </c>
      <c r="T12" s="5">
        <f t="shared" si="4"/>
        <v>0.18306163027174391</v>
      </c>
      <c r="U12" s="5">
        <f t="shared" si="5"/>
        <v>1435.3089700444791</v>
      </c>
      <c r="V12" s="4">
        <v>18</v>
      </c>
      <c r="W12" s="4">
        <v>-2</v>
      </c>
      <c r="X12" s="4">
        <v>-35</v>
      </c>
      <c r="Y12" s="4">
        <v>29</v>
      </c>
      <c r="Z12" s="4">
        <v>0</v>
      </c>
      <c r="AA12" s="4">
        <v>0</v>
      </c>
      <c r="AB12" s="4">
        <v>0</v>
      </c>
      <c r="AC12" s="4">
        <v>0</v>
      </c>
      <c r="AD12" s="4"/>
      <c r="AE12" s="54">
        <v>4.4202804565429688E-4</v>
      </c>
      <c r="AF12" s="54">
        <v>0.4590030312538147</v>
      </c>
    </row>
    <row r="13" spans="1:33" x14ac:dyDescent="0.2">
      <c r="A13" s="53" t="s">
        <v>2188</v>
      </c>
      <c r="B13" s="53" t="s">
        <v>2189</v>
      </c>
      <c r="C13" s="54" t="s">
        <v>3028</v>
      </c>
      <c r="D13" s="20" t="s">
        <v>322</v>
      </c>
      <c r="E13" s="9" t="s">
        <v>324</v>
      </c>
      <c r="F13" s="4" t="s">
        <v>323</v>
      </c>
      <c r="G13" s="12" t="s">
        <v>22</v>
      </c>
      <c r="H13" s="4">
        <v>3487</v>
      </c>
      <c r="I13" s="5">
        <f t="shared" si="0"/>
        <v>2722.8381859510291</v>
      </c>
      <c r="J13" s="4">
        <v>3685</v>
      </c>
      <c r="K13" s="5">
        <f t="shared" si="1"/>
        <v>1989.4260789194798</v>
      </c>
      <c r="L13" s="5">
        <v>0</v>
      </c>
      <c r="M13" s="5">
        <v>0</v>
      </c>
      <c r="N13" s="4">
        <v>0</v>
      </c>
      <c r="O13" s="5">
        <f t="shared" si="2"/>
        <v>0</v>
      </c>
      <c r="P13" s="4">
        <v>914</v>
      </c>
      <c r="Q13" s="4">
        <v>1706</v>
      </c>
      <c r="R13" s="4">
        <v>472</v>
      </c>
      <c r="S13" s="5">
        <f t="shared" si="3"/>
        <v>1030.6666666666667</v>
      </c>
      <c r="T13" s="5">
        <f t="shared" si="4"/>
        <v>0.73064425538920363</v>
      </c>
      <c r="U13" s="5">
        <f t="shared" si="5"/>
        <v>1410.6272088838166</v>
      </c>
      <c r="V13" s="4">
        <v>-50</v>
      </c>
      <c r="W13" s="4">
        <v>12</v>
      </c>
      <c r="X13" s="4">
        <v>-11</v>
      </c>
      <c r="Y13" s="4">
        <v>9</v>
      </c>
      <c r="Z13" s="4">
        <v>0</v>
      </c>
      <c r="AA13" s="4">
        <v>0</v>
      </c>
      <c r="AB13" s="4">
        <v>0</v>
      </c>
      <c r="AC13" s="4">
        <v>0</v>
      </c>
      <c r="AD13" s="4"/>
      <c r="AE13" s="54">
        <v>3.4964084625244141E-4</v>
      </c>
      <c r="AF13" s="54">
        <v>0.4680601954460144</v>
      </c>
    </row>
    <row r="14" spans="1:33" x14ac:dyDescent="0.2">
      <c r="A14" s="53" t="s">
        <v>2178</v>
      </c>
      <c r="B14" s="53" t="s">
        <v>2177</v>
      </c>
      <c r="C14" s="54" t="s">
        <v>3060</v>
      </c>
      <c r="D14" s="13" t="s">
        <v>283</v>
      </c>
      <c r="E14" s="4" t="s">
        <v>285</v>
      </c>
      <c r="F14" s="4" t="s">
        <v>284</v>
      </c>
      <c r="G14" s="4" t="s">
        <v>276</v>
      </c>
      <c r="H14" s="4">
        <v>5326</v>
      </c>
      <c r="I14" s="5">
        <f t="shared" si="0"/>
        <v>4158.8288438127856</v>
      </c>
      <c r="J14" s="4">
        <v>705</v>
      </c>
      <c r="K14" s="5">
        <f t="shared" si="1"/>
        <v>380.60933124511081</v>
      </c>
      <c r="L14" s="5">
        <v>0</v>
      </c>
      <c r="M14" s="5">
        <v>0</v>
      </c>
      <c r="N14" s="4">
        <v>4</v>
      </c>
      <c r="O14" s="5">
        <f t="shared" si="2"/>
        <v>1.3333333333333333</v>
      </c>
      <c r="P14" s="4">
        <v>110</v>
      </c>
      <c r="Q14" s="4">
        <v>114</v>
      </c>
      <c r="R14" s="4">
        <v>584</v>
      </c>
      <c r="S14" s="5">
        <f t="shared" si="3"/>
        <v>269.33333333333331</v>
      </c>
      <c r="T14" s="5">
        <f t="shared" si="4"/>
        <v>9.1518392686766786E-2</v>
      </c>
      <c r="U14" s="5">
        <f t="shared" si="5"/>
        <v>1261.2609120402742</v>
      </c>
      <c r="V14" s="4">
        <v>-37</v>
      </c>
      <c r="W14" s="4">
        <v>-1</v>
      </c>
      <c r="X14" s="4">
        <v>38</v>
      </c>
      <c r="Y14" s="4">
        <v>-45</v>
      </c>
      <c r="Z14" s="4">
        <v>0</v>
      </c>
      <c r="AA14" s="4">
        <v>0</v>
      </c>
      <c r="AB14" s="4">
        <v>0</v>
      </c>
      <c r="AC14" s="4">
        <v>0</v>
      </c>
      <c r="AD14" s="4"/>
      <c r="AE14" s="54">
        <v>3.7693977355957031E-4</v>
      </c>
      <c r="AF14" s="54">
        <v>0.47702011466026312</v>
      </c>
    </row>
    <row r="15" spans="1:33" x14ac:dyDescent="0.2">
      <c r="A15" s="53" t="s">
        <v>2582</v>
      </c>
      <c r="B15" s="53" t="s">
        <v>2585</v>
      </c>
      <c r="C15" s="54" t="s">
        <v>3081</v>
      </c>
      <c r="D15" s="14" t="s">
        <v>1220</v>
      </c>
      <c r="E15" s="4" t="s">
        <v>1222</v>
      </c>
      <c r="F15" s="4" t="s">
        <v>1221</v>
      </c>
      <c r="G15" s="4" t="s">
        <v>17</v>
      </c>
      <c r="H15" s="4">
        <v>592</v>
      </c>
      <c r="I15" s="5">
        <f t="shared" si="0"/>
        <v>462.26561688643807</v>
      </c>
      <c r="J15" s="4">
        <v>3693</v>
      </c>
      <c r="K15" s="5">
        <f t="shared" si="1"/>
        <v>1993.7450500541759</v>
      </c>
      <c r="L15" s="5">
        <v>0</v>
      </c>
      <c r="M15" s="5">
        <v>0</v>
      </c>
      <c r="N15" s="4">
        <v>0</v>
      </c>
      <c r="O15" s="5">
        <f t="shared" si="2"/>
        <v>0</v>
      </c>
      <c r="P15" s="4">
        <v>2870</v>
      </c>
      <c r="Q15" s="4">
        <v>6675</v>
      </c>
      <c r="R15" s="4">
        <v>5024</v>
      </c>
      <c r="S15" s="5">
        <f t="shared" si="3"/>
        <v>4856.333333333333</v>
      </c>
      <c r="T15" s="5">
        <f t="shared" si="4"/>
        <v>4.3129858185926189</v>
      </c>
      <c r="U15" s="5">
        <f t="shared" si="5"/>
        <v>1125.9794345713883</v>
      </c>
      <c r="V15" s="4">
        <v>-5</v>
      </c>
      <c r="W15" s="4">
        <v>21</v>
      </c>
      <c r="X15" s="4">
        <v>2</v>
      </c>
      <c r="Y15" s="4">
        <v>-29</v>
      </c>
      <c r="Z15" s="4">
        <v>0</v>
      </c>
      <c r="AA15" s="4">
        <v>0</v>
      </c>
      <c r="AB15" s="4">
        <v>0</v>
      </c>
      <c r="AC15" s="4">
        <v>0</v>
      </c>
      <c r="AD15" s="4"/>
      <c r="AE15" s="54">
        <v>1.103949546813965E-2</v>
      </c>
      <c r="AF15" s="54">
        <v>0.99878567457199097</v>
      </c>
    </row>
    <row r="16" spans="1:33" x14ac:dyDescent="0.2">
      <c r="A16" s="53" t="s">
        <v>2787</v>
      </c>
      <c r="B16" s="53" t="s">
        <v>2825</v>
      </c>
      <c r="C16" s="54" t="s">
        <v>3512</v>
      </c>
      <c r="D16" s="13" t="s">
        <v>1911</v>
      </c>
      <c r="E16" s="4" t="s">
        <v>1913</v>
      </c>
      <c r="F16" s="4" t="s">
        <v>1912</v>
      </c>
      <c r="G16" s="4" t="s">
        <v>132</v>
      </c>
      <c r="H16" s="4">
        <v>6129</v>
      </c>
      <c r="I16" s="5">
        <f t="shared" si="0"/>
        <v>4785.8546721232751</v>
      </c>
      <c r="J16" s="4">
        <v>1220</v>
      </c>
      <c r="K16" s="5">
        <f t="shared" si="1"/>
        <v>658.64309804118466</v>
      </c>
      <c r="L16" s="5">
        <v>0</v>
      </c>
      <c r="M16" s="5">
        <v>0</v>
      </c>
      <c r="N16" s="4">
        <v>3</v>
      </c>
      <c r="O16" s="5">
        <f t="shared" si="2"/>
        <v>1</v>
      </c>
      <c r="P16" s="4">
        <v>301</v>
      </c>
      <c r="Q16" s="4">
        <v>322</v>
      </c>
      <c r="R16" s="4">
        <v>250</v>
      </c>
      <c r="S16" s="5">
        <f t="shared" si="3"/>
        <v>291</v>
      </c>
      <c r="T16" s="5">
        <f t="shared" si="4"/>
        <v>0.13762287891390848</v>
      </c>
      <c r="U16" s="5">
        <f t="shared" si="5"/>
        <v>1057.2370026572337</v>
      </c>
      <c r="V16" s="4">
        <v>-11</v>
      </c>
      <c r="W16" s="4">
        <v>-25</v>
      </c>
      <c r="X16" s="4">
        <v>-2</v>
      </c>
      <c r="Y16" s="4">
        <v>7</v>
      </c>
      <c r="Z16" s="4">
        <v>0</v>
      </c>
      <c r="AA16" s="4">
        <v>0</v>
      </c>
      <c r="AB16" s="4">
        <v>0</v>
      </c>
      <c r="AC16" s="4">
        <v>0</v>
      </c>
      <c r="AD16" s="4"/>
      <c r="AE16" s="54">
        <v>2.0623207092285159E-4</v>
      </c>
      <c r="AF16" s="54">
        <v>0.37327557802200317</v>
      </c>
    </row>
    <row r="17" spans="1:32" x14ac:dyDescent="0.2">
      <c r="A17" s="53" t="s">
        <v>2683</v>
      </c>
      <c r="B17" s="53" t="s">
        <v>2688</v>
      </c>
      <c r="C17" s="54" t="s">
        <v>2904</v>
      </c>
      <c r="D17" s="13" t="s">
        <v>1316</v>
      </c>
      <c r="E17" s="4" t="s">
        <v>1318</v>
      </c>
      <c r="F17" s="4" t="s">
        <v>1317</v>
      </c>
      <c r="G17" s="15" t="s">
        <v>188</v>
      </c>
      <c r="H17" s="4">
        <v>1047</v>
      </c>
      <c r="I17" s="5">
        <f t="shared" si="0"/>
        <v>817.55422445962949</v>
      </c>
      <c r="J17" s="4">
        <v>2726</v>
      </c>
      <c r="K17" s="5">
        <f t="shared" si="1"/>
        <v>1471.6894141477617</v>
      </c>
      <c r="L17" s="5">
        <v>0</v>
      </c>
      <c r="M17" s="5">
        <v>0</v>
      </c>
      <c r="N17" s="4">
        <v>0</v>
      </c>
      <c r="O17" s="5">
        <f t="shared" si="2"/>
        <v>0</v>
      </c>
      <c r="P17" s="5">
        <v>3239</v>
      </c>
      <c r="Q17" s="5">
        <v>1748.6434381601614</v>
      </c>
      <c r="R17" s="5">
        <v>92.8</v>
      </c>
      <c r="S17" s="5">
        <f t="shared" si="3"/>
        <v>1693.4811460533872</v>
      </c>
      <c r="T17" s="5">
        <f t="shared" si="4"/>
        <v>1.8001122985089941</v>
      </c>
      <c r="U17" s="5">
        <f t="shared" si="5"/>
        <v>940.76416646676546</v>
      </c>
      <c r="V17" s="4">
        <v>25</v>
      </c>
      <c r="W17" s="4">
        <v>6</v>
      </c>
      <c r="X17" s="4">
        <v>-15</v>
      </c>
      <c r="Y17" s="4">
        <v>-2</v>
      </c>
      <c r="Z17" s="4">
        <v>0</v>
      </c>
      <c r="AA17" s="4">
        <v>0</v>
      </c>
      <c r="AB17" s="4">
        <v>0</v>
      </c>
      <c r="AC17" s="4">
        <v>0</v>
      </c>
      <c r="AD17" s="4"/>
      <c r="AE17" s="54">
        <v>3.4084320068359379E-3</v>
      </c>
      <c r="AF17" s="54">
        <v>0.96028685569763184</v>
      </c>
    </row>
    <row r="18" spans="1:32" x14ac:dyDescent="0.2">
      <c r="A18" s="53" t="s">
        <v>2127</v>
      </c>
      <c r="B18" s="53" t="s">
        <v>2126</v>
      </c>
      <c r="C18" s="54" t="s">
        <v>3109</v>
      </c>
      <c r="D18" s="13" t="s">
        <v>219</v>
      </c>
      <c r="E18" s="4" t="s">
        <v>221</v>
      </c>
      <c r="F18" s="4" t="s">
        <v>220</v>
      </c>
      <c r="G18" s="4" t="s">
        <v>118</v>
      </c>
      <c r="H18" s="4">
        <v>650</v>
      </c>
      <c r="I18" s="5">
        <f t="shared" si="0"/>
        <v>507.55515367598775</v>
      </c>
      <c r="J18" s="4">
        <v>600</v>
      </c>
      <c r="K18" s="5">
        <f t="shared" si="1"/>
        <v>323.92283510222194</v>
      </c>
      <c r="L18" s="5">
        <v>5</v>
      </c>
      <c r="M18" s="5">
        <v>0</v>
      </c>
      <c r="N18" s="4">
        <v>0</v>
      </c>
      <c r="O18" s="5">
        <f t="shared" si="2"/>
        <v>1.6666666666666667</v>
      </c>
      <c r="P18" s="5">
        <v>2655</v>
      </c>
      <c r="Q18" s="5">
        <v>414.63351784915307</v>
      </c>
      <c r="R18" s="5">
        <v>1480</v>
      </c>
      <c r="S18" s="5">
        <f t="shared" si="3"/>
        <v>1516.5445059497179</v>
      </c>
      <c r="T18" s="5">
        <f t="shared" si="4"/>
        <v>0.63820223823203903</v>
      </c>
      <c r="U18" s="5">
        <f t="shared" si="5"/>
        <v>891.10340839070102</v>
      </c>
      <c r="V18" s="4" t="s">
        <v>21</v>
      </c>
      <c r="W18" s="4">
        <v>-434</v>
      </c>
      <c r="X18" s="4">
        <v>-274</v>
      </c>
      <c r="Y18" s="4">
        <v>-294</v>
      </c>
      <c r="Z18" s="4">
        <v>0</v>
      </c>
      <c r="AA18" s="4">
        <v>0</v>
      </c>
      <c r="AB18" s="4">
        <v>0</v>
      </c>
      <c r="AC18" s="4">
        <v>0</v>
      </c>
      <c r="AD18" s="4"/>
      <c r="AE18" s="54">
        <v>-2.245247364044189E-3</v>
      </c>
      <c r="AF18" s="54">
        <v>-0.90083020925521851</v>
      </c>
    </row>
    <row r="19" spans="1:32" x14ac:dyDescent="0.2">
      <c r="A19" s="53" t="s">
        <v>2097</v>
      </c>
      <c r="B19" s="53" t="s">
        <v>2099</v>
      </c>
      <c r="C19" s="54" t="s">
        <v>3013</v>
      </c>
      <c r="D19" s="13" t="s">
        <v>181</v>
      </c>
      <c r="E19" s="4" t="s">
        <v>183</v>
      </c>
      <c r="F19" s="4" t="s">
        <v>182</v>
      </c>
      <c r="G19" s="12" t="s">
        <v>22</v>
      </c>
      <c r="H19" s="4">
        <v>1431</v>
      </c>
      <c r="I19" s="5">
        <f t="shared" si="0"/>
        <v>1117.4021921697515</v>
      </c>
      <c r="J19" s="4">
        <v>1375</v>
      </c>
      <c r="K19" s="5">
        <f t="shared" si="1"/>
        <v>742.3231637759252</v>
      </c>
      <c r="L19" s="5">
        <v>0</v>
      </c>
      <c r="M19" s="5">
        <v>0</v>
      </c>
      <c r="N19" s="4">
        <v>0</v>
      </c>
      <c r="O19" s="5">
        <f t="shared" si="2"/>
        <v>0</v>
      </c>
      <c r="P19" s="4">
        <v>555</v>
      </c>
      <c r="Q19" s="4">
        <v>677</v>
      </c>
      <c r="R19" s="4">
        <v>480</v>
      </c>
      <c r="S19" s="5">
        <f t="shared" si="3"/>
        <v>570.66666666666663</v>
      </c>
      <c r="T19" s="5">
        <f t="shared" si="4"/>
        <v>0.66432943212192508</v>
      </c>
      <c r="U19" s="5">
        <f t="shared" si="5"/>
        <v>859.01156726401302</v>
      </c>
      <c r="V19" s="4">
        <v>-14</v>
      </c>
      <c r="W19" s="4">
        <v>38</v>
      </c>
      <c r="X19" s="4">
        <v>-14</v>
      </c>
      <c r="Y19" s="4">
        <v>-15</v>
      </c>
      <c r="Z19" s="4">
        <v>0</v>
      </c>
      <c r="AA19" s="4">
        <v>0</v>
      </c>
      <c r="AB19" s="4">
        <v>0</v>
      </c>
      <c r="AC19" s="4">
        <v>0</v>
      </c>
      <c r="AD19" s="4"/>
      <c r="AE19" s="54">
        <v>9.613037109375E-4</v>
      </c>
      <c r="AF19" s="54">
        <v>0.67455524206161499</v>
      </c>
    </row>
    <row r="20" spans="1:32" x14ac:dyDescent="0.2">
      <c r="A20" s="53" t="s">
        <v>2240</v>
      </c>
      <c r="B20" s="53" t="s">
        <v>2239</v>
      </c>
      <c r="C20" s="54" t="s">
        <v>3137</v>
      </c>
      <c r="D20" s="20" t="s">
        <v>356</v>
      </c>
      <c r="E20" s="9" t="s">
        <v>358</v>
      </c>
      <c r="F20" s="9" t="s">
        <v>357</v>
      </c>
      <c r="G20" s="4" t="s">
        <v>66</v>
      </c>
      <c r="H20" s="4">
        <v>1260</v>
      </c>
      <c r="I20" s="5">
        <f t="shared" si="0"/>
        <v>983.87614404883777</v>
      </c>
      <c r="J20" s="4">
        <v>913</v>
      </c>
      <c r="K20" s="5">
        <f t="shared" si="1"/>
        <v>492.90258074721436</v>
      </c>
      <c r="L20" s="5">
        <v>0</v>
      </c>
      <c r="M20" s="5">
        <v>0</v>
      </c>
      <c r="N20" s="4">
        <v>0</v>
      </c>
      <c r="O20" s="5">
        <f t="shared" si="2"/>
        <v>0</v>
      </c>
      <c r="P20" s="4">
        <v>492</v>
      </c>
      <c r="Q20" s="4">
        <v>341</v>
      </c>
      <c r="R20" s="4">
        <v>204</v>
      </c>
      <c r="S20" s="5">
        <f t="shared" si="3"/>
        <v>345.66666666666669</v>
      </c>
      <c r="T20" s="5">
        <f t="shared" si="4"/>
        <v>0.50098031518360264</v>
      </c>
      <c r="U20" s="5">
        <f t="shared" si="5"/>
        <v>689.9805365406113</v>
      </c>
      <c r="V20" s="4">
        <v>5</v>
      </c>
      <c r="W20" s="4">
        <v>38</v>
      </c>
      <c r="X20" s="4">
        <v>-38</v>
      </c>
      <c r="Y20" s="4">
        <v>14</v>
      </c>
      <c r="Z20" s="4">
        <v>0</v>
      </c>
      <c r="AA20" s="4">
        <v>0</v>
      </c>
      <c r="AB20" s="4">
        <v>0</v>
      </c>
      <c r="AC20" s="4">
        <v>0</v>
      </c>
      <c r="AD20" s="4"/>
      <c r="AE20" s="54">
        <v>-2.7596950531005859E-5</v>
      </c>
      <c r="AF20" s="54">
        <v>-0.1034524366259575</v>
      </c>
    </row>
    <row r="21" spans="1:32" x14ac:dyDescent="0.2">
      <c r="A21" s="53" t="s">
        <v>2683</v>
      </c>
      <c r="B21" s="53" t="s">
        <v>2727</v>
      </c>
      <c r="C21" s="54" t="s">
        <v>2960</v>
      </c>
      <c r="D21" s="13" t="s">
        <v>1371</v>
      </c>
      <c r="E21" s="4" t="s">
        <v>1373</v>
      </c>
      <c r="F21" s="4" t="s">
        <v>1372</v>
      </c>
      <c r="G21" s="4" t="s">
        <v>42</v>
      </c>
      <c r="H21" s="4">
        <v>4144</v>
      </c>
      <c r="I21" s="5">
        <f t="shared" si="0"/>
        <v>3235.8593182050663</v>
      </c>
      <c r="J21" s="4">
        <v>2511</v>
      </c>
      <c r="K21" s="5">
        <f t="shared" si="1"/>
        <v>1355.6170649027988</v>
      </c>
      <c r="L21" s="5">
        <v>0</v>
      </c>
      <c r="M21" s="5">
        <v>0</v>
      </c>
      <c r="N21" s="4">
        <v>0</v>
      </c>
      <c r="O21" s="5">
        <f t="shared" si="2"/>
        <v>0</v>
      </c>
      <c r="P21" s="4">
        <v>312</v>
      </c>
      <c r="Q21" s="4">
        <v>271</v>
      </c>
      <c r="R21" s="4">
        <v>263</v>
      </c>
      <c r="S21" s="5">
        <f t="shared" si="3"/>
        <v>282</v>
      </c>
      <c r="T21" s="5">
        <f t="shared" si="4"/>
        <v>0.41893572358849046</v>
      </c>
      <c r="U21" s="5">
        <f t="shared" si="5"/>
        <v>673.13428796299354</v>
      </c>
      <c r="V21" s="4">
        <v>40</v>
      </c>
      <c r="W21" s="4">
        <v>-37</v>
      </c>
      <c r="X21" s="4">
        <v>-31</v>
      </c>
      <c r="Y21" s="4">
        <v>39</v>
      </c>
      <c r="Z21" s="4">
        <v>0</v>
      </c>
      <c r="AA21" s="4">
        <v>0</v>
      </c>
      <c r="AB21" s="4">
        <v>0</v>
      </c>
      <c r="AC21" s="4">
        <v>0</v>
      </c>
      <c r="AD21" s="4"/>
      <c r="AE21" s="54">
        <v>1.401901245117188E-4</v>
      </c>
      <c r="AF21" s="54">
        <v>0.25927191972732538</v>
      </c>
    </row>
    <row r="22" spans="1:32" x14ac:dyDescent="0.2">
      <c r="A22" s="53" t="s">
        <v>2243</v>
      </c>
      <c r="B22" s="53" t="s">
        <v>2532</v>
      </c>
      <c r="C22" s="54" t="s">
        <v>3439</v>
      </c>
      <c r="D22" s="13" t="s">
        <v>696</v>
      </c>
      <c r="E22" s="4" t="s">
        <v>698</v>
      </c>
      <c r="F22" s="4" t="s">
        <v>697</v>
      </c>
      <c r="G22" s="4" t="s">
        <v>365</v>
      </c>
      <c r="H22" s="4">
        <v>484</v>
      </c>
      <c r="I22" s="5">
        <f t="shared" si="0"/>
        <v>377.93337596796624</v>
      </c>
      <c r="J22" s="4">
        <v>3689</v>
      </c>
      <c r="K22" s="5">
        <f t="shared" si="1"/>
        <v>1991.5855644868282</v>
      </c>
      <c r="L22" s="5">
        <v>2</v>
      </c>
      <c r="M22" s="5">
        <v>0</v>
      </c>
      <c r="N22" s="4">
        <v>0</v>
      </c>
      <c r="O22" s="5">
        <f t="shared" si="2"/>
        <v>0.66666666666666663</v>
      </c>
      <c r="P22" s="4">
        <v>7906</v>
      </c>
      <c r="Q22" s="4">
        <v>4500</v>
      </c>
      <c r="R22" s="4">
        <v>2989</v>
      </c>
      <c r="S22" s="5">
        <f t="shared" si="3"/>
        <v>5131.666666666667</v>
      </c>
      <c r="T22" s="5">
        <f t="shared" si="4"/>
        <v>5.2696736809390332</v>
      </c>
      <c r="U22" s="5">
        <f t="shared" si="5"/>
        <v>584.28665348616732</v>
      </c>
      <c r="V22" s="4">
        <v>21</v>
      </c>
      <c r="W22" s="4">
        <v>-30</v>
      </c>
      <c r="X22" s="4">
        <v>-5</v>
      </c>
      <c r="Y22" s="4">
        <v>-13</v>
      </c>
      <c r="Z22" s="4">
        <v>0</v>
      </c>
      <c r="AA22" s="4">
        <v>0</v>
      </c>
      <c r="AB22" s="4">
        <v>0</v>
      </c>
      <c r="AC22" s="4">
        <v>0</v>
      </c>
      <c r="AD22" s="4"/>
      <c r="AE22" s="54">
        <v>-2.8235912322998051E-3</v>
      </c>
      <c r="AF22" s="54">
        <v>-0.93488073348999023</v>
      </c>
    </row>
    <row r="23" spans="1:32" x14ac:dyDescent="0.2">
      <c r="A23" s="53" t="s">
        <v>2130</v>
      </c>
      <c r="B23" s="53" t="s">
        <v>2157</v>
      </c>
      <c r="C23" s="54" t="s">
        <v>3166</v>
      </c>
      <c r="D23" s="20" t="s">
        <v>126</v>
      </c>
      <c r="E23" s="9" t="s">
        <v>128</v>
      </c>
      <c r="F23" s="4" t="s">
        <v>127</v>
      </c>
      <c r="G23" s="4" t="s">
        <v>218</v>
      </c>
      <c r="H23" s="4">
        <v>1541</v>
      </c>
      <c r="I23" s="5">
        <f t="shared" si="0"/>
        <v>1203.29614125338</v>
      </c>
      <c r="J23" s="4">
        <v>490</v>
      </c>
      <c r="K23" s="5">
        <f t="shared" si="1"/>
        <v>264.53698200014793</v>
      </c>
      <c r="L23" s="5">
        <v>0</v>
      </c>
      <c r="M23" s="5">
        <v>0</v>
      </c>
      <c r="N23" s="4">
        <v>0</v>
      </c>
      <c r="O23" s="5">
        <f t="shared" si="2"/>
        <v>0</v>
      </c>
      <c r="P23" s="4">
        <v>114</v>
      </c>
      <c r="Q23" s="4">
        <v>177</v>
      </c>
      <c r="R23" s="4">
        <v>93</v>
      </c>
      <c r="S23" s="5">
        <f t="shared" si="3"/>
        <v>128</v>
      </c>
      <c r="T23" s="5">
        <f t="shared" si="4"/>
        <v>0.2198436219737232</v>
      </c>
      <c r="U23" s="5">
        <f t="shared" si="5"/>
        <v>582.23203771314866</v>
      </c>
      <c r="V23" s="4">
        <v>7</v>
      </c>
      <c r="W23" s="4">
        <v>-40</v>
      </c>
      <c r="X23" s="4">
        <v>7</v>
      </c>
      <c r="Y23" s="4">
        <v>1</v>
      </c>
      <c r="Z23" s="4">
        <v>7.0000000000000007E-2</v>
      </c>
      <c r="AA23" s="4">
        <v>0.02</v>
      </c>
      <c r="AB23" s="4">
        <v>0</v>
      </c>
      <c r="AC23" s="4">
        <v>0</v>
      </c>
      <c r="AD23" s="4"/>
      <c r="AE23" s="54">
        <v>-2.356767654418945E-4</v>
      </c>
      <c r="AF23" s="54">
        <v>-0.39295980334281921</v>
      </c>
    </row>
    <row r="24" spans="1:32" x14ac:dyDescent="0.2">
      <c r="A24" s="53" t="s">
        <v>2554</v>
      </c>
      <c r="B24" s="53" t="s">
        <v>2553</v>
      </c>
      <c r="C24" s="54" t="s">
        <v>3473</v>
      </c>
      <c r="D24" s="13" t="s">
        <v>1151</v>
      </c>
      <c r="E24" s="4" t="s">
        <v>1153</v>
      </c>
      <c r="F24" s="4" t="s">
        <v>1152</v>
      </c>
      <c r="G24" s="4" t="s">
        <v>164</v>
      </c>
      <c r="H24" s="4">
        <v>5868</v>
      </c>
      <c r="I24" s="5">
        <f t="shared" si="0"/>
        <v>4582.0517565703012</v>
      </c>
      <c r="J24" s="4">
        <v>3948</v>
      </c>
      <c r="K24" s="5">
        <f t="shared" si="1"/>
        <v>2131.4122549726203</v>
      </c>
      <c r="L24" s="5">
        <v>0</v>
      </c>
      <c r="M24" s="5">
        <v>0</v>
      </c>
      <c r="N24" s="4">
        <v>0</v>
      </c>
      <c r="O24" s="5">
        <f t="shared" si="2"/>
        <v>0</v>
      </c>
      <c r="P24" s="4">
        <v>275</v>
      </c>
      <c r="Q24" s="4">
        <v>342</v>
      </c>
      <c r="R24" s="4">
        <v>186</v>
      </c>
      <c r="S24" s="5">
        <f t="shared" si="3"/>
        <v>267.66666666666669</v>
      </c>
      <c r="T24" s="5">
        <f t="shared" si="4"/>
        <v>0.46516546914083695</v>
      </c>
      <c r="U24" s="5">
        <f t="shared" si="5"/>
        <v>575.42247742733014</v>
      </c>
      <c r="V24" s="4">
        <v>-37</v>
      </c>
      <c r="W24" s="4">
        <v>17</v>
      </c>
      <c r="X24" s="4">
        <v>3</v>
      </c>
      <c r="Y24" s="4">
        <v>35</v>
      </c>
      <c r="Z24" s="4">
        <v>0</v>
      </c>
      <c r="AA24" s="4">
        <v>0</v>
      </c>
      <c r="AB24" s="4">
        <v>0</v>
      </c>
      <c r="AC24" s="4">
        <v>0</v>
      </c>
      <c r="AD24" s="4"/>
      <c r="AE24" s="54">
        <v>2.2619962692260739E-4</v>
      </c>
      <c r="AF24" s="54">
        <v>0.32259750366210938</v>
      </c>
    </row>
    <row r="25" spans="1:32" x14ac:dyDescent="0.2">
      <c r="A25" s="53" t="s">
        <v>2097</v>
      </c>
      <c r="B25" s="53" t="s">
        <v>2120</v>
      </c>
      <c r="C25" s="54" t="s">
        <v>3014</v>
      </c>
      <c r="D25" s="14" t="s">
        <v>189</v>
      </c>
      <c r="E25" s="4" t="s">
        <v>191</v>
      </c>
      <c r="F25" s="4" t="s">
        <v>190</v>
      </c>
      <c r="G25" s="4" t="s">
        <v>97</v>
      </c>
      <c r="H25" s="4">
        <v>2566</v>
      </c>
      <c r="I25" s="5">
        <f t="shared" si="0"/>
        <v>2003.6715758962837</v>
      </c>
      <c r="J25" s="4">
        <v>4265</v>
      </c>
      <c r="K25" s="5">
        <f t="shared" si="1"/>
        <v>2302.551486184961</v>
      </c>
      <c r="L25" s="5">
        <v>0</v>
      </c>
      <c r="M25" s="5">
        <v>0</v>
      </c>
      <c r="N25" s="4">
        <v>0</v>
      </c>
      <c r="O25" s="5">
        <f t="shared" si="2"/>
        <v>0</v>
      </c>
      <c r="P25" s="5">
        <v>650</v>
      </c>
      <c r="Q25" s="5">
        <v>507.55515367598775</v>
      </c>
      <c r="R25" s="5">
        <v>600</v>
      </c>
      <c r="S25" s="5">
        <f t="shared" si="3"/>
        <v>585.85171789199592</v>
      </c>
      <c r="T25" s="5">
        <f t="shared" si="4"/>
        <v>1.1491661177830415</v>
      </c>
      <c r="U25" s="5">
        <f t="shared" si="5"/>
        <v>509.80594435051268</v>
      </c>
      <c r="V25" s="4">
        <v>-134</v>
      </c>
      <c r="W25" s="4">
        <v>63</v>
      </c>
      <c r="X25" s="4" t="s">
        <v>175</v>
      </c>
      <c r="Y25" s="4">
        <v>-76</v>
      </c>
      <c r="Z25" s="4">
        <v>0</v>
      </c>
      <c r="AA25" s="4">
        <v>0</v>
      </c>
      <c r="AB25" s="4">
        <v>0</v>
      </c>
      <c r="AC25" s="4">
        <v>0.01</v>
      </c>
      <c r="AD25" s="4"/>
      <c r="AE25" s="54">
        <v>-1.5128850936889651E-3</v>
      </c>
      <c r="AF25" s="54">
        <v>-0.79902827739715576</v>
      </c>
    </row>
    <row r="26" spans="1:32" x14ac:dyDescent="0.2">
      <c r="A26" s="53" t="s">
        <v>2243</v>
      </c>
      <c r="B26" s="53" t="s">
        <v>2512</v>
      </c>
      <c r="C26" s="54" t="s">
        <v>3192</v>
      </c>
      <c r="D26" s="13" t="s">
        <v>690</v>
      </c>
      <c r="E26" s="4" t="s">
        <v>692</v>
      </c>
      <c r="F26" s="4" t="s">
        <v>691</v>
      </c>
      <c r="G26" s="22" t="s">
        <v>1238</v>
      </c>
      <c r="H26" s="4">
        <v>1791</v>
      </c>
      <c r="I26" s="5">
        <f t="shared" si="0"/>
        <v>1398.5096618979908</v>
      </c>
      <c r="J26" s="4">
        <v>4922</v>
      </c>
      <c r="K26" s="5">
        <f t="shared" si="1"/>
        <v>2657.2469906218944</v>
      </c>
      <c r="L26" s="5">
        <v>0</v>
      </c>
      <c r="M26" s="5">
        <v>0</v>
      </c>
      <c r="N26" s="4">
        <v>0</v>
      </c>
      <c r="O26" s="5">
        <f t="shared" si="2"/>
        <v>0</v>
      </c>
      <c r="P26" s="5">
        <v>1385</v>
      </c>
      <c r="Q26" s="5">
        <v>747.72187769429559</v>
      </c>
      <c r="R26" s="5">
        <v>624.1</v>
      </c>
      <c r="S26" s="5">
        <f t="shared" si="3"/>
        <v>918.94062589809846</v>
      </c>
      <c r="T26" s="5">
        <f t="shared" si="4"/>
        <v>1.9000562262942147</v>
      </c>
      <c r="U26" s="5">
        <f t="shared" si="5"/>
        <v>483.63864878375705</v>
      </c>
      <c r="V26" s="4">
        <v>-14</v>
      </c>
      <c r="W26" s="4">
        <v>27</v>
      </c>
      <c r="X26" s="4">
        <v>-14</v>
      </c>
      <c r="Y26" s="4">
        <v>27</v>
      </c>
      <c r="Z26" s="4">
        <v>0</v>
      </c>
      <c r="AA26" s="4">
        <v>0</v>
      </c>
      <c r="AB26" s="4">
        <v>0</v>
      </c>
      <c r="AC26" s="4">
        <v>0</v>
      </c>
      <c r="AD26" s="4"/>
      <c r="AE26" s="54">
        <v>3.2517910003662109E-3</v>
      </c>
      <c r="AF26" s="54">
        <v>0.95553880929946899</v>
      </c>
    </row>
    <row r="27" spans="1:32" x14ac:dyDescent="0.2">
      <c r="A27" s="53" t="s">
        <v>2243</v>
      </c>
      <c r="B27" s="53" t="s">
        <v>2358</v>
      </c>
      <c r="C27" s="54" t="s">
        <v>3346</v>
      </c>
      <c r="D27" s="13" t="s">
        <v>566</v>
      </c>
      <c r="E27" s="4" t="s">
        <v>568</v>
      </c>
      <c r="F27" s="4" t="s">
        <v>567</v>
      </c>
      <c r="G27" s="23" t="s">
        <v>293</v>
      </c>
      <c r="H27" s="4">
        <v>367</v>
      </c>
      <c r="I27" s="5">
        <f t="shared" si="0"/>
        <v>286.57344830628847</v>
      </c>
      <c r="J27" s="4">
        <v>2055</v>
      </c>
      <c r="K27" s="5">
        <f t="shared" si="1"/>
        <v>1109.4357102251101</v>
      </c>
      <c r="L27" s="5">
        <v>0</v>
      </c>
      <c r="M27" s="5">
        <v>0</v>
      </c>
      <c r="N27" s="4">
        <v>0</v>
      </c>
      <c r="O27" s="5">
        <f t="shared" si="2"/>
        <v>0</v>
      </c>
      <c r="P27" s="5">
        <v>2890</v>
      </c>
      <c r="Q27" s="5">
        <v>1560.2283224090359</v>
      </c>
      <c r="R27" s="5">
        <v>695.8</v>
      </c>
      <c r="S27" s="5">
        <f t="shared" si="3"/>
        <v>1715.3427741363455</v>
      </c>
      <c r="T27" s="5">
        <f t="shared" si="4"/>
        <v>3.8713834682944879</v>
      </c>
      <c r="U27" s="5">
        <f t="shared" si="5"/>
        <v>443.08263136021196</v>
      </c>
      <c r="V27" s="4">
        <v>-2</v>
      </c>
      <c r="W27" s="4">
        <v>8</v>
      </c>
      <c r="X27" s="4">
        <v>1</v>
      </c>
      <c r="Y27" s="4">
        <v>42</v>
      </c>
      <c r="Z27" s="4">
        <v>0</v>
      </c>
      <c r="AA27" s="4">
        <v>0</v>
      </c>
      <c r="AB27" s="4">
        <v>0</v>
      </c>
      <c r="AC27" s="4">
        <v>0</v>
      </c>
      <c r="AD27" s="4"/>
      <c r="AE27" s="54">
        <v>4.6246051788330078E-3</v>
      </c>
      <c r="AF27" s="54">
        <v>0.9840279221534729</v>
      </c>
    </row>
    <row r="28" spans="1:32" x14ac:dyDescent="0.2">
      <c r="A28" s="53" t="s">
        <v>2683</v>
      </c>
      <c r="B28" s="53" t="s">
        <v>2695</v>
      </c>
      <c r="C28" s="54" t="s">
        <v>2894</v>
      </c>
      <c r="D28" s="13" t="s">
        <v>1325</v>
      </c>
      <c r="E28" s="4" t="s">
        <v>1327</v>
      </c>
      <c r="F28" s="4" t="s">
        <v>1326</v>
      </c>
      <c r="G28" s="4" t="s">
        <v>34</v>
      </c>
      <c r="H28" s="4">
        <v>622</v>
      </c>
      <c r="I28" s="5">
        <f t="shared" si="0"/>
        <v>485.69123936379134</v>
      </c>
      <c r="J28" s="4">
        <v>4689</v>
      </c>
      <c r="K28" s="5">
        <f t="shared" si="1"/>
        <v>2531.4569563238642</v>
      </c>
      <c r="L28" s="5">
        <v>0</v>
      </c>
      <c r="M28" s="5">
        <v>0</v>
      </c>
      <c r="N28" s="4">
        <v>0</v>
      </c>
      <c r="O28" s="5">
        <f t="shared" si="2"/>
        <v>0</v>
      </c>
      <c r="P28" s="5">
        <v>3435</v>
      </c>
      <c r="Q28" s="5">
        <v>1854.4582309602206</v>
      </c>
      <c r="R28" s="5">
        <v>979.4</v>
      </c>
      <c r="S28" s="5">
        <f t="shared" si="3"/>
        <v>2089.6194103200737</v>
      </c>
      <c r="T28" s="5">
        <f t="shared" si="4"/>
        <v>5.2120704496128623</v>
      </c>
      <c r="U28" s="5">
        <f t="shared" si="5"/>
        <v>400.91925666033251</v>
      </c>
      <c r="V28" s="4">
        <v>-32</v>
      </c>
      <c r="W28" s="4">
        <v>-10</v>
      </c>
      <c r="X28" s="4">
        <v>-10</v>
      </c>
      <c r="Y28" s="4">
        <v>36</v>
      </c>
      <c r="Z28" s="4">
        <v>0</v>
      </c>
      <c r="AA28" s="4">
        <v>0</v>
      </c>
      <c r="AB28" s="4">
        <v>0</v>
      </c>
      <c r="AC28" s="4">
        <v>0</v>
      </c>
      <c r="AD28" s="4"/>
      <c r="AE28" s="54">
        <v>1.086950302124023E-3</v>
      </c>
      <c r="AF28" s="54">
        <v>0.71053868532180786</v>
      </c>
    </row>
    <row r="29" spans="1:32" x14ac:dyDescent="0.2">
      <c r="A29" s="53" t="s">
        <v>2547</v>
      </c>
      <c r="B29" s="53" t="s">
        <v>2546</v>
      </c>
      <c r="C29" s="54" t="s">
        <v>3111</v>
      </c>
      <c r="D29" s="13" t="s">
        <v>1141</v>
      </c>
      <c r="E29" s="4" t="s">
        <v>1143</v>
      </c>
      <c r="F29" s="4" t="s">
        <v>1142</v>
      </c>
      <c r="G29" s="4" t="s">
        <v>253</v>
      </c>
      <c r="H29" s="4">
        <v>5609</v>
      </c>
      <c r="I29" s="5">
        <f t="shared" si="0"/>
        <v>4379.8105491824845</v>
      </c>
      <c r="J29" s="4">
        <v>4736</v>
      </c>
      <c r="K29" s="5">
        <f t="shared" si="1"/>
        <v>2556.8309117402055</v>
      </c>
      <c r="L29" s="5">
        <v>0</v>
      </c>
      <c r="M29" s="5">
        <v>4</v>
      </c>
      <c r="N29" s="4">
        <v>0</v>
      </c>
      <c r="O29" s="5">
        <f t="shared" si="2"/>
        <v>1.3333333333333333</v>
      </c>
      <c r="P29" s="4">
        <v>258</v>
      </c>
      <c r="Q29" s="4">
        <v>1076</v>
      </c>
      <c r="R29" s="4">
        <v>235</v>
      </c>
      <c r="S29" s="5">
        <f t="shared" si="3"/>
        <v>523</v>
      </c>
      <c r="T29" s="5">
        <f t="shared" si="4"/>
        <v>0.58377660015852784</v>
      </c>
      <c r="U29" s="5">
        <f t="shared" si="5"/>
        <v>383.9531373508118</v>
      </c>
      <c r="V29" s="4">
        <v>32</v>
      </c>
      <c r="W29" s="4">
        <v>-11</v>
      </c>
      <c r="X29" s="4">
        <v>-40</v>
      </c>
      <c r="Y29" s="4">
        <v>15</v>
      </c>
      <c r="Z29" s="4">
        <v>0</v>
      </c>
      <c r="AA29" s="4">
        <v>0</v>
      </c>
      <c r="AB29" s="4">
        <v>0</v>
      </c>
      <c r="AC29" s="4">
        <v>0</v>
      </c>
      <c r="AD29" s="4"/>
      <c r="AE29" s="54">
        <v>2.379155158996582E-2</v>
      </c>
      <c r="AF29" s="54">
        <v>0.99958926439285278</v>
      </c>
    </row>
    <row r="30" spans="1:32" x14ac:dyDescent="0.2">
      <c r="A30" s="53" t="s">
        <v>2787</v>
      </c>
      <c r="B30" s="53" t="s">
        <v>2824</v>
      </c>
      <c r="C30" s="54" t="s">
        <v>3514</v>
      </c>
      <c r="D30" s="13" t="s">
        <v>1908</v>
      </c>
      <c r="E30" s="4" t="s">
        <v>1910</v>
      </c>
      <c r="F30" s="4" t="s">
        <v>1909</v>
      </c>
      <c r="G30" s="4" t="s">
        <v>132</v>
      </c>
      <c r="H30" s="4">
        <v>1954</v>
      </c>
      <c r="I30" s="5">
        <f t="shared" si="0"/>
        <v>1525.788877358277</v>
      </c>
      <c r="J30" s="4">
        <v>3399</v>
      </c>
      <c r="K30" s="5">
        <f t="shared" si="1"/>
        <v>1835.0228608540874</v>
      </c>
      <c r="L30" s="5">
        <v>0</v>
      </c>
      <c r="M30" s="5">
        <v>0</v>
      </c>
      <c r="N30" s="4">
        <v>0</v>
      </c>
      <c r="O30" s="5">
        <f t="shared" si="2"/>
        <v>0</v>
      </c>
      <c r="P30" s="4">
        <v>114</v>
      </c>
      <c r="Q30" s="4">
        <v>360</v>
      </c>
      <c r="R30" s="4">
        <v>897</v>
      </c>
      <c r="S30" s="5">
        <f t="shared" si="3"/>
        <v>457</v>
      </c>
      <c r="T30" s="5">
        <f t="shared" si="4"/>
        <v>1.2026715413152129</v>
      </c>
      <c r="U30" s="5">
        <f t="shared" si="5"/>
        <v>379.98737336067308</v>
      </c>
      <c r="V30" s="4">
        <v>18</v>
      </c>
      <c r="W30" s="4">
        <v>-23</v>
      </c>
      <c r="X30" s="4">
        <v>18</v>
      </c>
      <c r="Y30" s="4">
        <v>36</v>
      </c>
      <c r="Z30" s="4">
        <v>0</v>
      </c>
      <c r="AA30" s="4">
        <v>0</v>
      </c>
      <c r="AB30" s="4">
        <v>0</v>
      </c>
      <c r="AC30" s="4">
        <v>0</v>
      </c>
      <c r="AD30" s="4"/>
      <c r="AE30" s="54">
        <v>-6.1497092247009277E-3</v>
      </c>
      <c r="AF30" s="54">
        <v>-0.99376744031906128</v>
      </c>
    </row>
    <row r="31" spans="1:32" x14ac:dyDescent="0.2">
      <c r="A31" s="53" t="s">
        <v>2186</v>
      </c>
      <c r="B31" s="53" t="s">
        <v>2185</v>
      </c>
      <c r="C31" s="54" t="s">
        <v>3116</v>
      </c>
      <c r="D31" s="13" t="s">
        <v>290</v>
      </c>
      <c r="E31" s="4" t="s">
        <v>292</v>
      </c>
      <c r="F31" s="4" t="s">
        <v>291</v>
      </c>
      <c r="G31" s="23" t="s">
        <v>293</v>
      </c>
      <c r="H31" s="4">
        <v>1443</v>
      </c>
      <c r="I31" s="5">
        <f t="shared" si="0"/>
        <v>1126.7724411606928</v>
      </c>
      <c r="J31" s="4">
        <v>589</v>
      </c>
      <c r="K31" s="5">
        <f t="shared" si="1"/>
        <v>317.98424979201457</v>
      </c>
      <c r="L31" s="5">
        <v>0</v>
      </c>
      <c r="M31" s="5">
        <v>3</v>
      </c>
      <c r="N31" s="4">
        <v>0</v>
      </c>
      <c r="O31" s="5">
        <f t="shared" si="2"/>
        <v>1</v>
      </c>
      <c r="P31" s="4">
        <v>188</v>
      </c>
      <c r="Q31" s="4">
        <v>366</v>
      </c>
      <c r="R31" s="4">
        <v>68</v>
      </c>
      <c r="S31" s="5">
        <f t="shared" si="3"/>
        <v>207.33333333333334</v>
      </c>
      <c r="T31" s="5">
        <f t="shared" si="4"/>
        <v>0.28220804678578909</v>
      </c>
      <c r="U31" s="5">
        <f t="shared" si="5"/>
        <v>367.34128543597194</v>
      </c>
      <c r="V31" s="4">
        <v>1</v>
      </c>
      <c r="W31" s="4">
        <v>-5</v>
      </c>
      <c r="X31" s="4">
        <v>2</v>
      </c>
      <c r="Y31" s="4">
        <v>36</v>
      </c>
      <c r="Z31" s="4">
        <v>0</v>
      </c>
      <c r="AA31" s="4">
        <v>0</v>
      </c>
      <c r="AB31" s="4">
        <v>0</v>
      </c>
      <c r="AC31" s="4">
        <v>0</v>
      </c>
      <c r="AD31" s="4"/>
      <c r="AE31" s="54">
        <v>-8.6486339569091797E-4</v>
      </c>
      <c r="AF31" s="54">
        <v>-0.66821938753128052</v>
      </c>
    </row>
    <row r="32" spans="1:32" x14ac:dyDescent="0.2">
      <c r="A32" s="53" t="s">
        <v>2127</v>
      </c>
      <c r="B32" s="53" t="s">
        <v>2128</v>
      </c>
      <c r="C32" s="54" t="s">
        <v>3110</v>
      </c>
      <c r="D32" s="20" t="s">
        <v>222</v>
      </c>
      <c r="E32" s="9" t="s">
        <v>224</v>
      </c>
      <c r="F32" s="4" t="s">
        <v>223</v>
      </c>
      <c r="G32" s="17" t="s">
        <v>66</v>
      </c>
      <c r="H32" s="4">
        <v>1798</v>
      </c>
      <c r="I32" s="5">
        <f t="shared" si="0"/>
        <v>1403.9756404760399</v>
      </c>
      <c r="J32" s="4">
        <v>2890</v>
      </c>
      <c r="K32" s="5">
        <f t="shared" si="1"/>
        <v>1560.2283224090359</v>
      </c>
      <c r="L32" s="5">
        <v>0</v>
      </c>
      <c r="M32" s="5">
        <v>0</v>
      </c>
      <c r="N32" s="4">
        <v>0</v>
      </c>
      <c r="O32" s="5">
        <f t="shared" si="2"/>
        <v>0</v>
      </c>
      <c r="P32" s="4">
        <v>404</v>
      </c>
      <c r="Q32" s="4">
        <v>436</v>
      </c>
      <c r="R32" s="4">
        <v>377</v>
      </c>
      <c r="S32" s="5">
        <f t="shared" si="3"/>
        <v>405.66666666666669</v>
      </c>
      <c r="T32" s="5">
        <f t="shared" si="4"/>
        <v>1.1112930149414957</v>
      </c>
      <c r="U32" s="5">
        <f t="shared" si="5"/>
        <v>365.04023800421629</v>
      </c>
      <c r="V32" s="4">
        <v>40</v>
      </c>
      <c r="W32" s="4">
        <v>15</v>
      </c>
      <c r="X32" s="4">
        <v>-31</v>
      </c>
      <c r="Y32" s="4">
        <v>-17</v>
      </c>
      <c r="Z32" s="4">
        <v>0</v>
      </c>
      <c r="AA32" s="4">
        <v>0</v>
      </c>
      <c r="AB32" s="4">
        <v>0</v>
      </c>
      <c r="AC32" s="4">
        <v>0</v>
      </c>
      <c r="AD32" s="4"/>
      <c r="AE32" s="54">
        <v>8.3643198013305664E-4</v>
      </c>
      <c r="AF32" s="54">
        <v>0.66821938753128052</v>
      </c>
    </row>
    <row r="33" spans="1:32" x14ac:dyDescent="0.2">
      <c r="A33" s="53" t="s">
        <v>2683</v>
      </c>
      <c r="B33" s="53" t="s">
        <v>2731</v>
      </c>
      <c r="C33" s="54" t="s">
        <v>2954</v>
      </c>
      <c r="D33" s="13" t="s">
        <v>1381</v>
      </c>
      <c r="E33" s="4" t="s">
        <v>1383</v>
      </c>
      <c r="F33" s="4" t="s">
        <v>1382</v>
      </c>
      <c r="G33" s="4" t="s">
        <v>345</v>
      </c>
      <c r="H33" s="4">
        <v>596</v>
      </c>
      <c r="I33" s="5">
        <f t="shared" si="0"/>
        <v>465.38903321675178</v>
      </c>
      <c r="J33" s="4">
        <v>3878</v>
      </c>
      <c r="K33" s="5">
        <f t="shared" si="1"/>
        <v>2093.6212575440277</v>
      </c>
      <c r="L33" s="5">
        <v>0</v>
      </c>
      <c r="M33" s="5">
        <v>0</v>
      </c>
      <c r="N33" s="4">
        <v>0</v>
      </c>
      <c r="O33" s="5">
        <f t="shared" si="2"/>
        <v>0</v>
      </c>
      <c r="P33" s="4">
        <v>1611</v>
      </c>
      <c r="Q33" s="4">
        <v>1724</v>
      </c>
      <c r="R33" s="4">
        <v>1147</v>
      </c>
      <c r="S33" s="5">
        <f t="shared" si="3"/>
        <v>1494</v>
      </c>
      <c r="T33" s="5">
        <f t="shared" si="4"/>
        <v>4.4986476004236602</v>
      </c>
      <c r="U33" s="5">
        <f t="shared" si="5"/>
        <v>332.09980703074018</v>
      </c>
      <c r="V33" s="4">
        <v>22</v>
      </c>
      <c r="W33" s="4">
        <v>-2</v>
      </c>
      <c r="X33" s="4">
        <v>22</v>
      </c>
      <c r="Y33" s="4">
        <v>46</v>
      </c>
      <c r="Z33" s="4">
        <v>0</v>
      </c>
      <c r="AA33" s="4">
        <v>0</v>
      </c>
      <c r="AB33" s="4">
        <v>0</v>
      </c>
      <c r="AC33" s="4">
        <v>0</v>
      </c>
      <c r="AD33" s="4"/>
      <c r="AE33" s="54">
        <v>-1.2810230255126951E-3</v>
      </c>
      <c r="AF33" s="54">
        <v>-0.7533077597618103</v>
      </c>
    </row>
    <row r="34" spans="1:32" x14ac:dyDescent="0.2">
      <c r="A34" s="53" t="s">
        <v>2660</v>
      </c>
      <c r="B34" s="53" t="s">
        <v>2661</v>
      </c>
      <c r="C34" s="54" t="s">
        <v>3117</v>
      </c>
      <c r="D34" s="13" t="s">
        <v>1268</v>
      </c>
      <c r="E34" s="4" t="s">
        <v>1270</v>
      </c>
      <c r="F34" s="4" t="s">
        <v>1269</v>
      </c>
      <c r="G34" s="4" t="s">
        <v>1436</v>
      </c>
      <c r="H34" s="4">
        <v>283</v>
      </c>
      <c r="I34" s="5">
        <f t="shared" si="0"/>
        <v>220.98170536969926</v>
      </c>
      <c r="J34" s="4">
        <v>3392</v>
      </c>
      <c r="K34" s="5">
        <f t="shared" si="1"/>
        <v>1831.243761111228</v>
      </c>
      <c r="L34" s="5">
        <v>0</v>
      </c>
      <c r="M34" s="5">
        <v>0</v>
      </c>
      <c r="N34" s="4">
        <v>0</v>
      </c>
      <c r="O34" s="5">
        <f t="shared" si="2"/>
        <v>0</v>
      </c>
      <c r="P34" s="5">
        <v>5141</v>
      </c>
      <c r="Q34" s="5">
        <v>2775.4788254342052</v>
      </c>
      <c r="R34" s="5">
        <v>116.2</v>
      </c>
      <c r="S34" s="5">
        <f t="shared" si="3"/>
        <v>2677.5596084780686</v>
      </c>
      <c r="T34" s="5">
        <f t="shared" si="4"/>
        <v>8.2868568601531205</v>
      </c>
      <c r="U34" s="5">
        <f t="shared" si="5"/>
        <v>323.10919009026952</v>
      </c>
      <c r="V34" s="4" t="s">
        <v>21</v>
      </c>
      <c r="W34" s="4" t="s">
        <v>21</v>
      </c>
      <c r="X34" s="4" t="s">
        <v>21</v>
      </c>
      <c r="Y34" s="4" t="s">
        <v>21</v>
      </c>
      <c r="Z34" s="10">
        <v>0</v>
      </c>
      <c r="AA34" s="10">
        <v>0</v>
      </c>
      <c r="AB34" s="10">
        <v>0</v>
      </c>
      <c r="AC34" s="10">
        <v>0</v>
      </c>
      <c r="AD34" s="4"/>
      <c r="AE34" s="54">
        <v>-1.0649561882019041E-3</v>
      </c>
      <c r="AF34" s="54">
        <v>-0.69892668724060059</v>
      </c>
    </row>
    <row r="35" spans="1:32" x14ac:dyDescent="0.2">
      <c r="A35" s="53" t="s">
        <v>2130</v>
      </c>
      <c r="B35" s="53" t="s">
        <v>2131</v>
      </c>
      <c r="C35" s="54" t="s">
        <v>3142</v>
      </c>
      <c r="D35" s="20" t="s">
        <v>237</v>
      </c>
      <c r="E35" s="9" t="s">
        <v>239</v>
      </c>
      <c r="F35" s="4" t="s">
        <v>238</v>
      </c>
      <c r="G35" s="4" t="s">
        <v>54</v>
      </c>
      <c r="H35" s="4">
        <v>748</v>
      </c>
      <c r="I35" s="5">
        <f t="shared" si="0"/>
        <v>584.07885376867512</v>
      </c>
      <c r="J35" s="4">
        <v>457</v>
      </c>
      <c r="K35" s="5">
        <f t="shared" si="1"/>
        <v>246.72122606952573</v>
      </c>
      <c r="L35" s="5">
        <v>0</v>
      </c>
      <c r="M35" s="5">
        <v>0</v>
      </c>
      <c r="N35" s="4">
        <v>0</v>
      </c>
      <c r="O35" s="5">
        <f t="shared" si="2"/>
        <v>0</v>
      </c>
      <c r="P35" s="4">
        <v>120</v>
      </c>
      <c r="Q35" s="4">
        <v>163</v>
      </c>
      <c r="R35" s="4">
        <v>68</v>
      </c>
      <c r="S35" s="5">
        <f t="shared" si="3"/>
        <v>117</v>
      </c>
      <c r="T35" s="5">
        <f t="shared" si="4"/>
        <v>0.42241081743945458</v>
      </c>
      <c r="U35" s="5">
        <f t="shared" si="5"/>
        <v>276.98154301356158</v>
      </c>
      <c r="V35" s="4">
        <v>8</v>
      </c>
      <c r="W35" s="4">
        <v>-35</v>
      </c>
      <c r="X35" s="4">
        <v>-10</v>
      </c>
      <c r="Y35" s="4">
        <v>30</v>
      </c>
      <c r="Z35" s="4">
        <v>0</v>
      </c>
      <c r="AA35" s="4">
        <v>0</v>
      </c>
      <c r="AB35" s="4">
        <v>0</v>
      </c>
      <c r="AC35" s="4">
        <v>0</v>
      </c>
      <c r="AD35" s="4"/>
      <c r="AE35" s="54">
        <v>1.151561737060547E-4</v>
      </c>
      <c r="AF35" s="54">
        <v>0.30177533626556402</v>
      </c>
    </row>
    <row r="36" spans="1:32" x14ac:dyDescent="0.2">
      <c r="A36" s="53" t="s">
        <v>2683</v>
      </c>
      <c r="B36" s="53" t="s">
        <v>2749</v>
      </c>
      <c r="C36" s="54" t="s">
        <v>2984</v>
      </c>
      <c r="D36" s="14" t="s">
        <v>1592</v>
      </c>
      <c r="E36" s="4" t="s">
        <v>1594</v>
      </c>
      <c r="F36" s="4" t="s">
        <v>1593</v>
      </c>
      <c r="G36" s="4" t="s">
        <v>46</v>
      </c>
      <c r="H36" s="4">
        <v>1221</v>
      </c>
      <c r="I36" s="5">
        <f t="shared" si="0"/>
        <v>953.4228348282785</v>
      </c>
      <c r="J36" s="4">
        <v>759</v>
      </c>
      <c r="K36" s="5">
        <f t="shared" si="1"/>
        <v>409.76238640431075</v>
      </c>
      <c r="L36" s="5">
        <v>0</v>
      </c>
      <c r="M36" s="5">
        <v>0</v>
      </c>
      <c r="N36" s="4">
        <v>0</v>
      </c>
      <c r="O36" s="5">
        <f t="shared" si="2"/>
        <v>0</v>
      </c>
      <c r="P36" s="4">
        <v>114</v>
      </c>
      <c r="Q36" s="4">
        <v>123</v>
      </c>
      <c r="R36" s="4">
        <v>115</v>
      </c>
      <c r="S36" s="5">
        <f t="shared" si="3"/>
        <v>117.33333333333333</v>
      </c>
      <c r="T36" s="5">
        <f t="shared" si="4"/>
        <v>0.42978033610671101</v>
      </c>
      <c r="U36" s="5">
        <f t="shared" si="5"/>
        <v>273.00768200851422</v>
      </c>
      <c r="V36" s="4">
        <v>15</v>
      </c>
      <c r="W36" s="4">
        <v>35</v>
      </c>
      <c r="X36" s="4">
        <v>12</v>
      </c>
      <c r="Y36" s="4">
        <v>31</v>
      </c>
      <c r="Z36" s="4">
        <v>0</v>
      </c>
      <c r="AA36" s="4">
        <v>0</v>
      </c>
      <c r="AB36" s="4">
        <v>0</v>
      </c>
      <c r="AC36" s="4">
        <v>0</v>
      </c>
      <c r="AD36" s="4"/>
      <c r="AE36" s="54">
        <v>-2.946853637695312E-4</v>
      </c>
      <c r="AF36" s="54">
        <v>-0.36330443620681763</v>
      </c>
    </row>
    <row r="37" spans="1:32" x14ac:dyDescent="0.2">
      <c r="A37" s="53" t="s">
        <v>2188</v>
      </c>
      <c r="B37" s="53" t="s">
        <v>2187</v>
      </c>
      <c r="C37" s="54" t="s">
        <v>3029</v>
      </c>
      <c r="D37" s="20" t="s">
        <v>294</v>
      </c>
      <c r="E37" s="9" t="s">
        <v>296</v>
      </c>
      <c r="F37" s="4" t="s">
        <v>295</v>
      </c>
      <c r="G37" s="12" t="s">
        <v>22</v>
      </c>
      <c r="H37" s="4">
        <v>2603</v>
      </c>
      <c r="I37" s="5">
        <f t="shared" si="0"/>
        <v>2032.5631769516863</v>
      </c>
      <c r="J37" s="4">
        <v>2582</v>
      </c>
      <c r="K37" s="5">
        <f t="shared" si="1"/>
        <v>1393.9479337232285</v>
      </c>
      <c r="L37" s="5">
        <v>0</v>
      </c>
      <c r="M37" s="5">
        <v>0</v>
      </c>
      <c r="N37" s="4">
        <v>0</v>
      </c>
      <c r="O37" s="5">
        <f t="shared" si="2"/>
        <v>0</v>
      </c>
      <c r="P37" s="4">
        <v>189</v>
      </c>
      <c r="Q37" s="4">
        <v>211</v>
      </c>
      <c r="R37" s="4">
        <v>160</v>
      </c>
      <c r="S37" s="5">
        <f t="shared" si="3"/>
        <v>186.66666666666666</v>
      </c>
      <c r="T37" s="5">
        <f t="shared" si="4"/>
        <v>0.68580792446205108</v>
      </c>
      <c r="U37" s="5">
        <f t="shared" si="5"/>
        <v>272.18505358200451</v>
      </c>
      <c r="V37" s="4" t="s">
        <v>21</v>
      </c>
      <c r="W37" s="4" t="s">
        <v>21</v>
      </c>
      <c r="X37" s="4" t="s">
        <v>21</v>
      </c>
      <c r="Y37" s="4">
        <v>405</v>
      </c>
      <c r="Z37" s="4">
        <v>0</v>
      </c>
      <c r="AA37" s="4">
        <v>0</v>
      </c>
      <c r="AB37" s="4">
        <v>0</v>
      </c>
      <c r="AC37" s="4">
        <v>0</v>
      </c>
      <c r="AD37" s="4"/>
      <c r="AE37" s="54">
        <v>-1.2453794479370119E-3</v>
      </c>
      <c r="AF37" s="54">
        <v>-0.76789063215255737</v>
      </c>
    </row>
    <row r="38" spans="1:32" x14ac:dyDescent="0.2">
      <c r="A38" s="53" t="s">
        <v>2188</v>
      </c>
      <c r="B38" s="53" t="s">
        <v>2191</v>
      </c>
      <c r="C38" s="54" t="s">
        <v>3026</v>
      </c>
      <c r="D38" s="20" t="s">
        <v>326</v>
      </c>
      <c r="E38" s="9" t="s">
        <v>328</v>
      </c>
      <c r="F38" s="4" t="s">
        <v>327</v>
      </c>
      <c r="G38" s="12" t="s">
        <v>22</v>
      </c>
      <c r="H38" s="4">
        <v>475</v>
      </c>
      <c r="I38" s="5">
        <f t="shared" si="0"/>
        <v>370.90568922476024</v>
      </c>
      <c r="J38" s="4">
        <v>737</v>
      </c>
      <c r="K38" s="5">
        <f t="shared" si="1"/>
        <v>397.88521578389594</v>
      </c>
      <c r="L38" s="5">
        <v>0</v>
      </c>
      <c r="M38" s="5">
        <v>0</v>
      </c>
      <c r="N38" s="4">
        <v>0</v>
      </c>
      <c r="O38" s="5">
        <f t="shared" si="2"/>
        <v>0</v>
      </c>
      <c r="P38" s="4">
        <v>311</v>
      </c>
      <c r="Q38" s="4">
        <v>355</v>
      </c>
      <c r="R38" s="4">
        <v>208</v>
      </c>
      <c r="S38" s="5">
        <f t="shared" si="3"/>
        <v>291.33333333333331</v>
      </c>
      <c r="T38" s="5">
        <f t="shared" si="4"/>
        <v>1.0727395867545908</v>
      </c>
      <c r="U38" s="5">
        <f t="shared" si="5"/>
        <v>271.57880340252723</v>
      </c>
      <c r="V38" s="4">
        <v>-2</v>
      </c>
      <c r="W38" s="4">
        <v>1</v>
      </c>
      <c r="X38" s="4">
        <v>3</v>
      </c>
      <c r="Y38" s="4">
        <v>-21</v>
      </c>
      <c r="Z38" s="4">
        <v>0</v>
      </c>
      <c r="AA38" s="4">
        <v>0</v>
      </c>
      <c r="AB38" s="4">
        <v>0</v>
      </c>
      <c r="AC38" s="4">
        <v>0</v>
      </c>
      <c r="AD38" s="4"/>
      <c r="AE38" s="54">
        <v>1.3789772987365719E-2</v>
      </c>
      <c r="AF38" s="54">
        <v>0.99917948246002197</v>
      </c>
    </row>
    <row r="39" spans="1:32" x14ac:dyDescent="0.2">
      <c r="A39" s="53" t="s">
        <v>2683</v>
      </c>
      <c r="B39" s="53" t="s">
        <v>2744</v>
      </c>
      <c r="C39" s="54" t="s">
        <v>2945</v>
      </c>
      <c r="D39" s="13" t="s">
        <v>1540</v>
      </c>
      <c r="E39" s="4" t="s">
        <v>1542</v>
      </c>
      <c r="F39" s="4" t="s">
        <v>1541</v>
      </c>
      <c r="G39" s="4" t="s">
        <v>46</v>
      </c>
      <c r="H39" s="4">
        <v>2488</v>
      </c>
      <c r="I39" s="5">
        <f t="shared" si="0"/>
        <v>1942.7649574551654</v>
      </c>
      <c r="J39" s="4">
        <v>2001</v>
      </c>
      <c r="K39" s="5">
        <f t="shared" si="1"/>
        <v>1080.2826550659104</v>
      </c>
      <c r="L39" s="5">
        <v>0</v>
      </c>
      <c r="M39" s="5">
        <v>2</v>
      </c>
      <c r="N39" s="4">
        <v>0</v>
      </c>
      <c r="O39" s="5">
        <f t="shared" si="2"/>
        <v>0.66666666666666663</v>
      </c>
      <c r="P39" s="4">
        <v>166</v>
      </c>
      <c r="Q39" s="4">
        <v>412</v>
      </c>
      <c r="R39" s="4">
        <v>115</v>
      </c>
      <c r="S39" s="5">
        <f t="shared" si="3"/>
        <v>231</v>
      </c>
      <c r="T39" s="5">
        <f t="shared" si="4"/>
        <v>0.55605422103195457</v>
      </c>
      <c r="U39" s="5">
        <f t="shared" si="5"/>
        <v>249.25626810777348</v>
      </c>
      <c r="V39" s="4">
        <v>39</v>
      </c>
      <c r="W39" s="4">
        <v>2</v>
      </c>
      <c r="X39" s="4">
        <v>6</v>
      </c>
      <c r="Y39" s="4">
        <v>-23</v>
      </c>
      <c r="Z39" s="4">
        <v>0</v>
      </c>
      <c r="AA39" s="4">
        <v>0</v>
      </c>
      <c r="AB39" s="4">
        <v>0</v>
      </c>
      <c r="AC39" s="4">
        <v>0</v>
      </c>
      <c r="AD39" s="4"/>
      <c r="AE39" s="54">
        <v>1.773834228515625E-4</v>
      </c>
      <c r="AF39" s="54">
        <v>0.29125374555587769</v>
      </c>
    </row>
    <row r="40" spans="1:32" x14ac:dyDescent="0.2">
      <c r="A40" s="53" t="s">
        <v>2683</v>
      </c>
      <c r="B40" s="53" t="s">
        <v>2739</v>
      </c>
      <c r="C40" s="54" t="s">
        <v>2948</v>
      </c>
      <c r="D40" s="13" t="s">
        <v>51</v>
      </c>
      <c r="E40" s="4" t="s">
        <v>53</v>
      </c>
      <c r="F40" s="4" t="s">
        <v>52</v>
      </c>
      <c r="G40" s="4" t="s">
        <v>46</v>
      </c>
      <c r="H40" s="4">
        <v>3091</v>
      </c>
      <c r="I40" s="5">
        <f t="shared" si="0"/>
        <v>2413.6199692499663</v>
      </c>
      <c r="J40" s="4">
        <v>2891</v>
      </c>
      <c r="K40" s="5">
        <f t="shared" si="1"/>
        <v>1560.768193800873</v>
      </c>
      <c r="L40" s="5">
        <v>0</v>
      </c>
      <c r="M40" s="5">
        <v>0</v>
      </c>
      <c r="N40" s="4">
        <v>0</v>
      </c>
      <c r="O40" s="5">
        <f t="shared" si="2"/>
        <v>0</v>
      </c>
      <c r="P40" s="4">
        <v>160</v>
      </c>
      <c r="Q40" s="4">
        <v>139</v>
      </c>
      <c r="R40" s="4">
        <v>163</v>
      </c>
      <c r="S40" s="5">
        <f t="shared" si="3"/>
        <v>154</v>
      </c>
      <c r="T40" s="5">
        <f t="shared" si="4"/>
        <v>0.6466503483089272</v>
      </c>
      <c r="U40" s="5">
        <f t="shared" si="5"/>
        <v>238.15033951923101</v>
      </c>
      <c r="V40" s="4">
        <v>-45</v>
      </c>
      <c r="W40" s="4">
        <v>-40</v>
      </c>
      <c r="X40" s="4">
        <v>-10</v>
      </c>
      <c r="Y40" s="4">
        <v>-46</v>
      </c>
      <c r="Z40" s="4">
        <v>0</v>
      </c>
      <c r="AA40" s="4">
        <v>0</v>
      </c>
      <c r="AB40" s="4" t="s">
        <v>21</v>
      </c>
      <c r="AC40" s="4" t="s">
        <v>21</v>
      </c>
      <c r="AD40" s="4"/>
      <c r="AE40" s="54">
        <v>6.6685676574707031E-4</v>
      </c>
      <c r="AF40" s="54">
        <v>0.56898140907287598</v>
      </c>
    </row>
    <row r="41" spans="1:32" x14ac:dyDescent="0.2">
      <c r="A41" s="53" t="s">
        <v>2243</v>
      </c>
      <c r="B41" s="53" t="s">
        <v>2283</v>
      </c>
      <c r="C41" s="54" t="s">
        <v>3423</v>
      </c>
      <c r="D41" s="13" t="s">
        <v>449</v>
      </c>
      <c r="E41" s="4" t="s">
        <v>451</v>
      </c>
      <c r="F41" s="4" t="s">
        <v>450</v>
      </c>
      <c r="G41" s="4" t="s">
        <v>54</v>
      </c>
      <c r="H41" s="4">
        <v>703</v>
      </c>
      <c r="I41" s="5">
        <f t="shared" si="0"/>
        <v>548.94042005264521</v>
      </c>
      <c r="J41" s="4">
        <v>1463</v>
      </c>
      <c r="K41" s="5">
        <f t="shared" si="1"/>
        <v>789.83184625758452</v>
      </c>
      <c r="L41" s="5">
        <v>0</v>
      </c>
      <c r="M41" s="5">
        <v>0</v>
      </c>
      <c r="N41" s="4">
        <v>0</v>
      </c>
      <c r="O41" s="5">
        <f t="shared" si="2"/>
        <v>0</v>
      </c>
      <c r="P41" s="4">
        <v>379</v>
      </c>
      <c r="Q41" s="4">
        <v>301</v>
      </c>
      <c r="R41" s="4">
        <v>339</v>
      </c>
      <c r="S41" s="5">
        <f t="shared" si="3"/>
        <v>339.66666666666669</v>
      </c>
      <c r="T41" s="5">
        <f t="shared" si="4"/>
        <v>1.4388298208789891</v>
      </c>
      <c r="U41" s="5">
        <f t="shared" si="5"/>
        <v>236.07146706145028</v>
      </c>
      <c r="V41" s="4">
        <v>34</v>
      </c>
      <c r="W41" s="4">
        <v>5</v>
      </c>
      <c r="X41" s="4">
        <v>0</v>
      </c>
      <c r="Y41" s="4">
        <v>5</v>
      </c>
      <c r="Z41" s="4">
        <v>0</v>
      </c>
      <c r="AA41" s="4">
        <v>0</v>
      </c>
      <c r="AB41" s="4">
        <v>0</v>
      </c>
      <c r="AC41" s="4">
        <v>0</v>
      </c>
      <c r="AD41" s="4"/>
      <c r="AE41" s="54">
        <v>-8.8357925415039062E-4</v>
      </c>
      <c r="AF41" s="54">
        <v>-0.64188623428344727</v>
      </c>
    </row>
    <row r="42" spans="1:32" x14ac:dyDescent="0.2">
      <c r="A42" s="53" t="s">
        <v>2130</v>
      </c>
      <c r="B42" s="53" t="s">
        <v>2129</v>
      </c>
      <c r="C42" s="54" t="s">
        <v>3141</v>
      </c>
      <c r="D42" s="27" t="s">
        <v>226</v>
      </c>
      <c r="E42" s="9" t="s">
        <v>228</v>
      </c>
      <c r="F42" s="9" t="s">
        <v>227</v>
      </c>
      <c r="G42" s="4" t="s">
        <v>125</v>
      </c>
      <c r="H42" s="24">
        <v>3254</v>
      </c>
      <c r="I42" s="25">
        <f t="shared" si="0"/>
        <v>2540.8991847102525</v>
      </c>
      <c r="J42" s="24">
        <v>3762</v>
      </c>
      <c r="K42" s="25">
        <f t="shared" si="1"/>
        <v>2030.9961760909316</v>
      </c>
      <c r="L42" s="26">
        <v>0</v>
      </c>
      <c r="M42" s="26">
        <v>0</v>
      </c>
      <c r="N42" s="19">
        <v>0</v>
      </c>
      <c r="O42" s="25">
        <f t="shared" si="2"/>
        <v>0</v>
      </c>
      <c r="P42" s="24">
        <v>225</v>
      </c>
      <c r="Q42" s="24">
        <v>241</v>
      </c>
      <c r="R42" s="24">
        <v>99</v>
      </c>
      <c r="S42" s="25">
        <f t="shared" si="3"/>
        <v>188.33333333333334</v>
      </c>
      <c r="T42" s="5">
        <f t="shared" si="4"/>
        <v>0.79932182603401214</v>
      </c>
      <c r="U42" s="5">
        <f t="shared" si="5"/>
        <v>235.61640280459392</v>
      </c>
      <c r="V42" s="24">
        <v>-44</v>
      </c>
      <c r="W42" s="24">
        <v>-46</v>
      </c>
      <c r="X42" s="24">
        <v>5</v>
      </c>
      <c r="Y42" s="24">
        <v>-46</v>
      </c>
      <c r="Z42" s="24">
        <v>0</v>
      </c>
      <c r="AA42" s="24">
        <v>0</v>
      </c>
      <c r="AB42" s="24">
        <v>0</v>
      </c>
      <c r="AC42" s="24">
        <v>0</v>
      </c>
      <c r="AD42" s="4"/>
      <c r="AE42" s="54">
        <v>5.5861473083496094E-4</v>
      </c>
      <c r="AF42" s="54">
        <v>0.56898140907287598</v>
      </c>
    </row>
    <row r="43" spans="1:32" x14ac:dyDescent="0.2">
      <c r="A43" s="53" t="s">
        <v>2243</v>
      </c>
      <c r="B43" s="53" t="s">
        <v>2501</v>
      </c>
      <c r="C43" s="54" t="s">
        <v>3205</v>
      </c>
      <c r="D43" s="13" t="s">
        <v>687</v>
      </c>
      <c r="E43" s="4" t="s">
        <v>689</v>
      </c>
      <c r="F43" s="4" t="s">
        <v>688</v>
      </c>
      <c r="G43" s="4" t="s">
        <v>27</v>
      </c>
      <c r="H43" s="4">
        <v>991</v>
      </c>
      <c r="I43" s="5">
        <f t="shared" si="0"/>
        <v>773.82639583523667</v>
      </c>
      <c r="J43" s="4">
        <v>4328</v>
      </c>
      <c r="K43" s="5">
        <f t="shared" si="1"/>
        <v>2336.563383870694</v>
      </c>
      <c r="L43" s="5">
        <v>0</v>
      </c>
      <c r="M43" s="5">
        <v>7</v>
      </c>
      <c r="N43" s="4">
        <v>3</v>
      </c>
      <c r="O43" s="5">
        <f t="shared" si="2"/>
        <v>3.3333333333333335</v>
      </c>
      <c r="P43" s="5">
        <v>1808</v>
      </c>
      <c r="Q43" s="5">
        <v>6832</v>
      </c>
      <c r="R43" s="5">
        <v>231</v>
      </c>
      <c r="S43" s="5">
        <f t="shared" si="3"/>
        <v>2957</v>
      </c>
      <c r="T43" s="5">
        <f t="shared" si="4"/>
        <v>3.0194929979723719</v>
      </c>
      <c r="U43" s="5">
        <f t="shared" si="5"/>
        <v>225.99311071191264</v>
      </c>
      <c r="V43" s="4">
        <v>-21</v>
      </c>
      <c r="W43" s="4">
        <v>-1</v>
      </c>
      <c r="X43" s="4">
        <v>-1</v>
      </c>
      <c r="Y43" s="4">
        <v>1</v>
      </c>
      <c r="Z43" s="4">
        <v>0</v>
      </c>
      <c r="AA43" s="4">
        <v>0</v>
      </c>
      <c r="AB43" s="4">
        <v>0</v>
      </c>
      <c r="AC43" s="4">
        <v>0</v>
      </c>
      <c r="AD43" s="4"/>
      <c r="AE43" s="54">
        <v>-1.527070999145508E-3</v>
      </c>
      <c r="AF43" s="54">
        <v>-0.80316084623336792</v>
      </c>
    </row>
    <row r="44" spans="1:32" x14ac:dyDescent="0.2">
      <c r="A44" s="53" t="s">
        <v>2683</v>
      </c>
      <c r="B44" s="53" t="s">
        <v>2747</v>
      </c>
      <c r="C44" s="54" t="s">
        <v>2944</v>
      </c>
      <c r="D44" s="13" t="s">
        <v>1571</v>
      </c>
      <c r="E44" s="4" t="s">
        <v>1573</v>
      </c>
      <c r="F44" s="4" t="s">
        <v>1572</v>
      </c>
      <c r="G44" s="4" t="s">
        <v>46</v>
      </c>
      <c r="H44" s="4">
        <v>2110</v>
      </c>
      <c r="I44" s="5">
        <f t="shared" si="0"/>
        <v>1647.6021142405139</v>
      </c>
      <c r="J44" s="4">
        <v>5013</v>
      </c>
      <c r="K44" s="5">
        <f t="shared" si="1"/>
        <v>2706.3752872790642</v>
      </c>
      <c r="L44" s="5">
        <v>0</v>
      </c>
      <c r="M44" s="5">
        <v>0</v>
      </c>
      <c r="N44" s="4">
        <v>0</v>
      </c>
      <c r="O44" s="5">
        <f t="shared" si="2"/>
        <v>0</v>
      </c>
      <c r="P44" s="4">
        <v>313</v>
      </c>
      <c r="Q44" s="4">
        <v>380</v>
      </c>
      <c r="R44" s="4">
        <v>206</v>
      </c>
      <c r="S44" s="5">
        <f t="shared" si="3"/>
        <v>299.66666666666669</v>
      </c>
      <c r="T44" s="5">
        <f t="shared" si="4"/>
        <v>1.6426145996581263</v>
      </c>
      <c r="U44" s="5">
        <f t="shared" si="5"/>
        <v>182.43273055592934</v>
      </c>
      <c r="V44" s="4">
        <v>-42</v>
      </c>
      <c r="W44" s="4">
        <v>25</v>
      </c>
      <c r="X44" s="4">
        <v>-42</v>
      </c>
      <c r="Y44" s="4">
        <v>-15</v>
      </c>
      <c r="Z44" s="4">
        <v>0</v>
      </c>
      <c r="AA44" s="4">
        <v>0</v>
      </c>
      <c r="AB44" s="4">
        <v>0</v>
      </c>
      <c r="AC44" s="4">
        <v>0</v>
      </c>
      <c r="AD44" s="4"/>
      <c r="AE44" s="54">
        <v>-5.7196617126464844E-4</v>
      </c>
      <c r="AF44" s="54">
        <v>-0.52033525705337524</v>
      </c>
    </row>
    <row r="45" spans="1:32" x14ac:dyDescent="0.2">
      <c r="A45" s="53" t="s">
        <v>2582</v>
      </c>
      <c r="B45" s="53" t="s">
        <v>2583</v>
      </c>
      <c r="C45" s="54" t="s">
        <v>3079</v>
      </c>
      <c r="D45" s="16" t="s">
        <v>1216</v>
      </c>
      <c r="E45" s="4" t="s">
        <v>1218</v>
      </c>
      <c r="F45" s="4" t="s">
        <v>1217</v>
      </c>
      <c r="G45" s="4" t="s">
        <v>17</v>
      </c>
      <c r="H45" s="4">
        <v>140</v>
      </c>
      <c r="I45" s="5">
        <f t="shared" si="0"/>
        <v>109.31957156098197</v>
      </c>
      <c r="J45" s="4">
        <v>1502</v>
      </c>
      <c r="K45" s="5">
        <f t="shared" si="1"/>
        <v>810.88683053922887</v>
      </c>
      <c r="L45" s="5">
        <v>0</v>
      </c>
      <c r="M45" s="5">
        <v>0</v>
      </c>
      <c r="N45" s="4">
        <v>0</v>
      </c>
      <c r="O45" s="5">
        <f t="shared" si="2"/>
        <v>0</v>
      </c>
      <c r="P45" s="4">
        <v>119</v>
      </c>
      <c r="Q45" s="4">
        <v>287</v>
      </c>
      <c r="R45" s="4">
        <v>3635</v>
      </c>
      <c r="S45" s="5">
        <f t="shared" si="3"/>
        <v>1347</v>
      </c>
      <c r="T45" s="5">
        <f t="shared" si="4"/>
        <v>7.4175814903088062</v>
      </c>
      <c r="U45" s="5">
        <f t="shared" si="5"/>
        <v>181.59557825685877</v>
      </c>
      <c r="V45" s="4">
        <v>-7</v>
      </c>
      <c r="W45" s="4">
        <v>34</v>
      </c>
      <c r="X45" s="4">
        <v>-26</v>
      </c>
      <c r="Y45" s="4">
        <v>-48</v>
      </c>
      <c r="Z45" s="10">
        <v>0</v>
      </c>
      <c r="AA45" s="10">
        <v>0</v>
      </c>
      <c r="AB45" s="10">
        <v>0</v>
      </c>
      <c r="AC45" s="10">
        <v>0</v>
      </c>
      <c r="AD45" s="4"/>
      <c r="AE45" s="54">
        <v>1.749992370605469E-3</v>
      </c>
      <c r="AF45" s="54">
        <v>0.8535151481628418</v>
      </c>
    </row>
    <row r="46" spans="1:32" x14ac:dyDescent="0.2">
      <c r="A46" s="53" t="s">
        <v>2787</v>
      </c>
      <c r="B46" s="53" t="s">
        <v>2841</v>
      </c>
      <c r="C46" s="54" t="s">
        <v>3530</v>
      </c>
      <c r="D46" s="32" t="s">
        <v>1992</v>
      </c>
      <c r="E46" s="4" t="s">
        <v>1994</v>
      </c>
      <c r="F46" s="4" t="s">
        <v>1993</v>
      </c>
      <c r="G46" s="4" t="s">
        <v>2050</v>
      </c>
      <c r="H46" s="19">
        <v>514</v>
      </c>
      <c r="I46" s="26">
        <f t="shared" si="0"/>
        <v>401.35899844531951</v>
      </c>
      <c r="J46" s="19">
        <v>2291</v>
      </c>
      <c r="K46" s="26">
        <f t="shared" si="1"/>
        <v>1236.8453586986507</v>
      </c>
      <c r="L46" s="26">
        <v>0</v>
      </c>
      <c r="M46" s="26">
        <v>0</v>
      </c>
      <c r="N46" s="19">
        <v>0</v>
      </c>
      <c r="O46" s="26">
        <f t="shared" si="2"/>
        <v>0</v>
      </c>
      <c r="P46" s="19">
        <v>823</v>
      </c>
      <c r="Q46" s="19">
        <v>645</v>
      </c>
      <c r="R46" s="19">
        <v>174</v>
      </c>
      <c r="S46" s="26">
        <f t="shared" si="3"/>
        <v>547.33333333333337</v>
      </c>
      <c r="T46" s="5">
        <f t="shared" si="4"/>
        <v>3.0816435248483818</v>
      </c>
      <c r="U46" s="5">
        <f t="shared" si="5"/>
        <v>177.61085242987747</v>
      </c>
      <c r="V46" s="19">
        <v>-262</v>
      </c>
      <c r="W46" s="19" t="s">
        <v>21</v>
      </c>
      <c r="X46" s="19">
        <v>-63</v>
      </c>
      <c r="Y46" s="19">
        <v>158</v>
      </c>
      <c r="Z46" s="19">
        <v>0</v>
      </c>
      <c r="AA46" s="19">
        <v>0</v>
      </c>
      <c r="AB46" s="19">
        <v>0</v>
      </c>
      <c r="AC46" s="19">
        <v>0.01</v>
      </c>
      <c r="AD46" s="4"/>
      <c r="AE46" s="54">
        <v>-4.6849250793457031E-4</v>
      </c>
      <c r="AF46" s="54">
        <v>-0.52033525705337524</v>
      </c>
    </row>
    <row r="47" spans="1:32" x14ac:dyDescent="0.2">
      <c r="A47" s="53" t="s">
        <v>2683</v>
      </c>
      <c r="B47" s="53" t="s">
        <v>2761</v>
      </c>
      <c r="C47" s="54" t="s">
        <v>2932</v>
      </c>
      <c r="D47" s="13" t="s">
        <v>1649</v>
      </c>
      <c r="E47" s="4" t="s">
        <v>1651</v>
      </c>
      <c r="F47" s="4" t="s">
        <v>1650</v>
      </c>
      <c r="G47" s="4" t="s">
        <v>46</v>
      </c>
      <c r="H47" s="4">
        <v>3407</v>
      </c>
      <c r="I47" s="5">
        <f t="shared" si="0"/>
        <v>2660.3698593447543</v>
      </c>
      <c r="J47" s="4">
        <v>4583</v>
      </c>
      <c r="K47" s="5">
        <f t="shared" si="1"/>
        <v>2474.2305887891384</v>
      </c>
      <c r="L47" s="5">
        <v>0</v>
      </c>
      <c r="M47" s="5">
        <v>0</v>
      </c>
      <c r="N47" s="4">
        <v>0</v>
      </c>
      <c r="O47" s="5">
        <f t="shared" si="2"/>
        <v>0</v>
      </c>
      <c r="P47" s="4">
        <v>189</v>
      </c>
      <c r="Q47" s="4">
        <v>191</v>
      </c>
      <c r="R47" s="4">
        <v>106</v>
      </c>
      <c r="S47" s="5">
        <f t="shared" si="3"/>
        <v>162</v>
      </c>
      <c r="T47" s="5">
        <f t="shared" si="4"/>
        <v>0.93003255923164696</v>
      </c>
      <c r="U47" s="5">
        <f t="shared" si="5"/>
        <v>174.18745009727127</v>
      </c>
      <c r="V47" s="4">
        <v>11</v>
      </c>
      <c r="W47" s="4">
        <v>-41</v>
      </c>
      <c r="X47" s="4">
        <v>-27</v>
      </c>
      <c r="Y47" s="4">
        <v>11</v>
      </c>
      <c r="Z47" s="4">
        <v>0</v>
      </c>
      <c r="AA47" s="4">
        <v>0</v>
      </c>
      <c r="AB47" s="4">
        <v>0</v>
      </c>
      <c r="AC47" s="4">
        <v>0</v>
      </c>
      <c r="AD47" s="4"/>
      <c r="AE47" s="54">
        <v>8.4710121154785156E-4</v>
      </c>
      <c r="AF47" s="54">
        <v>0.63505297899246216</v>
      </c>
    </row>
    <row r="48" spans="1:32" x14ac:dyDescent="0.2">
      <c r="A48" s="53" t="s">
        <v>2243</v>
      </c>
      <c r="B48" s="53" t="s">
        <v>2281</v>
      </c>
      <c r="C48" s="54" t="s">
        <v>3425</v>
      </c>
      <c r="D48" s="14" t="s">
        <v>446</v>
      </c>
      <c r="E48" s="4" t="s">
        <v>448</v>
      </c>
      <c r="F48" s="4" t="s">
        <v>447</v>
      </c>
      <c r="G48" s="4" t="s">
        <v>54</v>
      </c>
      <c r="H48" s="4">
        <v>1613</v>
      </c>
      <c r="I48" s="5">
        <f t="shared" si="0"/>
        <v>1259.5176351990281</v>
      </c>
      <c r="J48" s="4">
        <v>2338</v>
      </c>
      <c r="K48" s="5">
        <f t="shared" si="1"/>
        <v>1262.2193141149917</v>
      </c>
      <c r="L48" s="5">
        <v>0</v>
      </c>
      <c r="M48" s="5">
        <v>2</v>
      </c>
      <c r="N48" s="4">
        <v>0</v>
      </c>
      <c r="O48" s="5">
        <f t="shared" si="2"/>
        <v>0.66666666666666663</v>
      </c>
      <c r="P48" s="4">
        <v>401</v>
      </c>
      <c r="Q48" s="4">
        <v>400</v>
      </c>
      <c r="R48" s="4">
        <v>39</v>
      </c>
      <c r="S48" s="5">
        <f t="shared" si="3"/>
        <v>280</v>
      </c>
      <c r="T48" s="5">
        <f t="shared" si="4"/>
        <v>1.0021450107886236</v>
      </c>
      <c r="U48" s="5">
        <f t="shared" si="5"/>
        <v>167.64040951298537</v>
      </c>
      <c r="V48" s="4">
        <v>-7</v>
      </c>
      <c r="W48" s="4">
        <v>-17</v>
      </c>
      <c r="X48" s="4">
        <v>-7</v>
      </c>
      <c r="Y48" s="4">
        <v>26</v>
      </c>
      <c r="Z48" s="4">
        <v>0</v>
      </c>
      <c r="AA48" s="4">
        <v>0</v>
      </c>
      <c r="AB48" s="4">
        <v>0</v>
      </c>
      <c r="AC48" s="4">
        <v>0</v>
      </c>
      <c r="AD48" s="4"/>
      <c r="AE48" s="54">
        <v>1.1918544769287109E-3</v>
      </c>
      <c r="AF48" s="54">
        <v>0.73794448375701904</v>
      </c>
    </row>
    <row r="49" spans="1:32" x14ac:dyDescent="0.2">
      <c r="A49" s="53" t="s">
        <v>2243</v>
      </c>
      <c r="B49" s="53" t="s">
        <v>2424</v>
      </c>
      <c r="C49" s="54" t="s">
        <v>3277</v>
      </c>
      <c r="D49" s="13" t="s">
        <v>678</v>
      </c>
      <c r="E49" s="4" t="s">
        <v>680</v>
      </c>
      <c r="F49" s="4" t="s">
        <v>679</v>
      </c>
      <c r="G49" s="10" t="s">
        <v>27</v>
      </c>
      <c r="H49" s="4">
        <v>196</v>
      </c>
      <c r="I49" s="5">
        <f t="shared" si="0"/>
        <v>153.04740018537476</v>
      </c>
      <c r="J49" s="4">
        <v>4417</v>
      </c>
      <c r="K49" s="5">
        <f t="shared" si="1"/>
        <v>2384.6119377441905</v>
      </c>
      <c r="L49" s="5">
        <v>0</v>
      </c>
      <c r="M49" s="5">
        <v>0</v>
      </c>
      <c r="N49" s="4">
        <v>0</v>
      </c>
      <c r="O49" s="5">
        <f t="shared" si="2"/>
        <v>0</v>
      </c>
      <c r="P49" s="5">
        <v>4677</v>
      </c>
      <c r="Q49" s="5">
        <v>2524.9784996218204</v>
      </c>
      <c r="R49" s="5">
        <v>175.6</v>
      </c>
      <c r="S49" s="5">
        <f t="shared" si="3"/>
        <v>2459.1928332072735</v>
      </c>
      <c r="T49" s="5">
        <f t="shared" si="4"/>
        <v>15.58087190540898</v>
      </c>
      <c r="U49" s="5">
        <f t="shared" si="5"/>
        <v>157.83409607221995</v>
      </c>
      <c r="V49" s="4">
        <v>-38</v>
      </c>
      <c r="W49" s="4">
        <v>1</v>
      </c>
      <c r="X49" s="4">
        <v>36</v>
      </c>
      <c r="Y49" s="4">
        <v>-21</v>
      </c>
      <c r="Z49" s="4">
        <v>0</v>
      </c>
      <c r="AA49" s="4">
        <v>0</v>
      </c>
      <c r="AB49" s="4">
        <v>0</v>
      </c>
      <c r="AC49" s="4">
        <v>0</v>
      </c>
      <c r="AD49" s="4"/>
      <c r="AE49" s="54">
        <v>2.2373199462890621E-3</v>
      </c>
      <c r="AF49" s="54">
        <v>0.89638954401016235</v>
      </c>
    </row>
    <row r="50" spans="1:32" x14ac:dyDescent="0.2">
      <c r="A50" s="53" t="s">
        <v>2097</v>
      </c>
      <c r="B50" s="53" t="s">
        <v>2119</v>
      </c>
      <c r="C50" s="54" t="s">
        <v>3016</v>
      </c>
      <c r="D50" s="14" t="s">
        <v>172</v>
      </c>
      <c r="E50" s="4" t="s">
        <v>174</v>
      </c>
      <c r="F50" s="4" t="s">
        <v>173</v>
      </c>
      <c r="G50" s="4" t="s">
        <v>38</v>
      </c>
      <c r="H50" s="4">
        <v>1887</v>
      </c>
      <c r="I50" s="5">
        <f t="shared" si="0"/>
        <v>1473.4716538255213</v>
      </c>
      <c r="J50" s="4">
        <v>825</v>
      </c>
      <c r="K50" s="5">
        <f t="shared" si="1"/>
        <v>445.39389826555521</v>
      </c>
      <c r="L50" s="5">
        <v>0</v>
      </c>
      <c r="M50" s="5">
        <v>0</v>
      </c>
      <c r="N50" s="5">
        <v>0</v>
      </c>
      <c r="O50" s="5">
        <f t="shared" si="2"/>
        <v>0</v>
      </c>
      <c r="P50" s="4">
        <v>72</v>
      </c>
      <c r="Q50" s="4">
        <v>31</v>
      </c>
      <c r="R50" s="4">
        <v>39</v>
      </c>
      <c r="S50" s="5">
        <f t="shared" si="3"/>
        <v>47.333333333333336</v>
      </c>
      <c r="T50" s="5">
        <f t="shared" si="4"/>
        <v>0.30227517245356916</v>
      </c>
      <c r="U50" s="5">
        <f t="shared" si="5"/>
        <v>156.59021198839594</v>
      </c>
      <c r="V50" s="4">
        <v>-18</v>
      </c>
      <c r="W50" s="4" t="s">
        <v>175</v>
      </c>
      <c r="X50" s="4">
        <v>60</v>
      </c>
      <c r="Y50" s="4">
        <v>-255</v>
      </c>
      <c r="Z50" s="4">
        <v>0.01</v>
      </c>
      <c r="AA50" s="4">
        <v>0</v>
      </c>
      <c r="AB50" s="4">
        <v>0</v>
      </c>
      <c r="AC50" s="4">
        <v>0</v>
      </c>
      <c r="AD50" s="4"/>
      <c r="AE50" s="54">
        <v>2.4363994598388672E-3</v>
      </c>
      <c r="AF50" s="54">
        <v>0.91309356689453125</v>
      </c>
    </row>
    <row r="51" spans="1:32" x14ac:dyDescent="0.2">
      <c r="A51" s="53" t="s">
        <v>2243</v>
      </c>
      <c r="B51" s="53" t="s">
        <v>2372</v>
      </c>
      <c r="C51" s="54" t="s">
        <v>3342</v>
      </c>
      <c r="D51" s="13" t="s">
        <v>636</v>
      </c>
      <c r="E51" s="4" t="s">
        <v>638</v>
      </c>
      <c r="F51" s="4" t="s">
        <v>637</v>
      </c>
      <c r="G51" s="17" t="s">
        <v>809</v>
      </c>
      <c r="H51" s="4">
        <v>1061</v>
      </c>
      <c r="I51" s="5">
        <f t="shared" si="0"/>
        <v>828.48618161572767</v>
      </c>
      <c r="J51" s="4">
        <v>2073</v>
      </c>
      <c r="K51" s="5">
        <f t="shared" si="1"/>
        <v>1119.153395278177</v>
      </c>
      <c r="L51" s="5">
        <v>0</v>
      </c>
      <c r="M51" s="5">
        <v>0</v>
      </c>
      <c r="N51" s="4">
        <v>0</v>
      </c>
      <c r="O51" s="5">
        <f t="shared" si="2"/>
        <v>0</v>
      </c>
      <c r="P51" s="4">
        <v>203</v>
      </c>
      <c r="Q51" s="4">
        <v>251</v>
      </c>
      <c r="R51" s="4">
        <v>174</v>
      </c>
      <c r="S51" s="5">
        <f t="shared" si="3"/>
        <v>209.33333333333334</v>
      </c>
      <c r="T51" s="5">
        <f t="shared" si="4"/>
        <v>1.3508413539204542</v>
      </c>
      <c r="U51" s="5">
        <f t="shared" si="5"/>
        <v>154.96515021974977</v>
      </c>
      <c r="V51" s="4">
        <v>26</v>
      </c>
      <c r="W51" s="4">
        <v>-29</v>
      </c>
      <c r="X51" s="4">
        <v>-39</v>
      </c>
      <c r="Y51" s="4">
        <v>-48</v>
      </c>
      <c r="Z51" s="4">
        <v>0</v>
      </c>
      <c r="AA51" s="4">
        <v>0</v>
      </c>
      <c r="AB51" s="4">
        <v>0</v>
      </c>
      <c r="AC51" s="4">
        <v>0</v>
      </c>
      <c r="AD51" s="4"/>
      <c r="AE51" s="54">
        <v>-1.3983249664306641E-3</v>
      </c>
      <c r="AF51" s="54">
        <v>-0.7771916389465332</v>
      </c>
    </row>
    <row r="52" spans="1:32" x14ac:dyDescent="0.2">
      <c r="A52" s="53" t="s">
        <v>2787</v>
      </c>
      <c r="B52" s="53" t="s">
        <v>2822</v>
      </c>
      <c r="C52" s="54" t="s">
        <v>3513</v>
      </c>
      <c r="D52" s="13" t="s">
        <v>18</v>
      </c>
      <c r="E52" s="4" t="s">
        <v>20</v>
      </c>
      <c r="F52" s="4" t="s">
        <v>19</v>
      </c>
      <c r="G52" s="19" t="s">
        <v>17</v>
      </c>
      <c r="H52" s="4">
        <v>4915</v>
      </c>
      <c r="I52" s="5">
        <f t="shared" si="0"/>
        <v>3837.8978158730456</v>
      </c>
      <c r="J52" s="4">
        <v>3825</v>
      </c>
      <c r="K52" s="5">
        <f t="shared" si="1"/>
        <v>2065.0080737766652</v>
      </c>
      <c r="L52" s="5">
        <v>0</v>
      </c>
      <c r="M52" s="5">
        <v>0</v>
      </c>
      <c r="N52" s="5">
        <v>0</v>
      </c>
      <c r="O52" s="5">
        <f t="shared" si="2"/>
        <v>0</v>
      </c>
      <c r="P52" s="4">
        <v>84</v>
      </c>
      <c r="Q52" s="4">
        <v>106</v>
      </c>
      <c r="R52" s="4">
        <v>57</v>
      </c>
      <c r="S52" s="5">
        <f t="shared" si="3"/>
        <v>82.333333333333329</v>
      </c>
      <c r="T52" s="5">
        <f t="shared" si="4"/>
        <v>0.53805707521343082</v>
      </c>
      <c r="U52" s="5">
        <f t="shared" si="5"/>
        <v>153.01970204680276</v>
      </c>
      <c r="V52" s="4" t="s">
        <v>21</v>
      </c>
      <c r="W52" s="4" t="s">
        <v>21</v>
      </c>
      <c r="X52" s="4" t="s">
        <v>21</v>
      </c>
      <c r="Y52" s="4" t="s">
        <v>21</v>
      </c>
      <c r="Z52" s="4" t="s">
        <v>21</v>
      </c>
      <c r="AA52" s="4" t="s">
        <v>21</v>
      </c>
      <c r="AB52" s="4" t="s">
        <v>21</v>
      </c>
      <c r="AC52" s="4" t="s">
        <v>21</v>
      </c>
      <c r="AD52" s="4"/>
      <c r="AE52" s="54">
        <v>1.4215707778930661E-4</v>
      </c>
      <c r="AF52" s="54">
        <v>0.32259750366210938</v>
      </c>
    </row>
    <row r="53" spans="1:32" x14ac:dyDescent="0.2">
      <c r="A53" s="53" t="s">
        <v>2683</v>
      </c>
      <c r="B53" s="53" t="s">
        <v>2776</v>
      </c>
      <c r="C53" s="54" t="s">
        <v>2920</v>
      </c>
      <c r="D53" s="13" t="s">
        <v>1658</v>
      </c>
      <c r="E53" s="4" t="s">
        <v>1660</v>
      </c>
      <c r="F53" s="4" t="s">
        <v>1659</v>
      </c>
      <c r="G53" s="4" t="s">
        <v>1845</v>
      </c>
      <c r="H53" s="4">
        <v>3592</v>
      </c>
      <c r="I53" s="5">
        <f t="shared" si="0"/>
        <v>2804.8278646217659</v>
      </c>
      <c r="J53" s="4">
        <v>3239</v>
      </c>
      <c r="K53" s="5">
        <f t="shared" si="1"/>
        <v>1748.6434381601614</v>
      </c>
      <c r="L53" s="5">
        <v>0</v>
      </c>
      <c r="M53" s="5">
        <v>12</v>
      </c>
      <c r="N53" s="4">
        <v>0</v>
      </c>
      <c r="O53" s="5">
        <f t="shared" si="2"/>
        <v>4</v>
      </c>
      <c r="P53" s="4">
        <v>134</v>
      </c>
      <c r="Q53" s="4">
        <v>1164</v>
      </c>
      <c r="R53" s="4">
        <v>105</v>
      </c>
      <c r="S53" s="5">
        <f t="shared" si="3"/>
        <v>467.66666666666669</v>
      </c>
      <c r="T53" s="5">
        <f t="shared" si="4"/>
        <v>0.62344055413039323</v>
      </c>
      <c r="U53" s="5">
        <f t="shared" si="5"/>
        <v>150.02766938028023</v>
      </c>
      <c r="V53" s="4" t="s">
        <v>21</v>
      </c>
      <c r="W53" s="4" t="s">
        <v>21</v>
      </c>
      <c r="X53" s="4">
        <v>65</v>
      </c>
      <c r="Y53" s="4" t="s">
        <v>21</v>
      </c>
      <c r="Z53" s="4">
        <v>0</v>
      </c>
      <c r="AA53" s="4">
        <v>0</v>
      </c>
      <c r="AB53" s="4">
        <v>0</v>
      </c>
      <c r="AC53" s="4">
        <v>0</v>
      </c>
      <c r="AD53" s="4"/>
      <c r="AE53" s="54">
        <v>-1.3885498046875E-3</v>
      </c>
      <c r="AF53" s="54">
        <v>-0.7771916389465332</v>
      </c>
    </row>
    <row r="54" spans="1:32" x14ac:dyDescent="0.2">
      <c r="A54" s="53" t="s">
        <v>2683</v>
      </c>
      <c r="B54" s="53" t="s">
        <v>2721</v>
      </c>
      <c r="C54" s="54" t="s">
        <v>2966</v>
      </c>
      <c r="D54" s="13" t="s">
        <v>1365</v>
      </c>
      <c r="E54" s="4" t="s">
        <v>1367</v>
      </c>
      <c r="F54" s="4" t="s">
        <v>1366</v>
      </c>
      <c r="G54" s="4" t="s">
        <v>42</v>
      </c>
      <c r="H54" s="4">
        <v>956</v>
      </c>
      <c r="I54" s="5">
        <f t="shared" si="0"/>
        <v>746.49650294499111</v>
      </c>
      <c r="J54" s="4">
        <v>3417</v>
      </c>
      <c r="K54" s="5">
        <f t="shared" si="1"/>
        <v>1844.740545907154</v>
      </c>
      <c r="L54" s="5">
        <v>0</v>
      </c>
      <c r="M54" s="5">
        <v>0</v>
      </c>
      <c r="N54" s="4">
        <v>0</v>
      </c>
      <c r="O54" s="5">
        <f t="shared" si="2"/>
        <v>0</v>
      </c>
      <c r="P54" s="4">
        <v>700</v>
      </c>
      <c r="Q54" s="4">
        <v>37</v>
      </c>
      <c r="R54" s="4">
        <v>334</v>
      </c>
      <c r="S54" s="5">
        <f t="shared" si="3"/>
        <v>357</v>
      </c>
      <c r="T54" s="5">
        <f t="shared" si="4"/>
        <v>2.4711978403508903</v>
      </c>
      <c r="U54" s="5">
        <f t="shared" si="5"/>
        <v>144.46435415681202</v>
      </c>
      <c r="V54" s="4">
        <v>3</v>
      </c>
      <c r="W54" s="4">
        <v>-10</v>
      </c>
      <c r="X54" s="4">
        <v>2</v>
      </c>
      <c r="Y54" s="4">
        <v>-10</v>
      </c>
      <c r="Z54" s="4">
        <v>0</v>
      </c>
      <c r="AA54" s="4">
        <v>0</v>
      </c>
      <c r="AB54" s="4">
        <v>0</v>
      </c>
      <c r="AC54" s="4">
        <v>0</v>
      </c>
      <c r="AD54" s="4"/>
      <c r="AE54" s="54">
        <v>1.010894775390625E-4</v>
      </c>
      <c r="AF54" s="54">
        <v>0.21573995053768161</v>
      </c>
    </row>
    <row r="55" spans="1:32" x14ac:dyDescent="0.2">
      <c r="A55" s="53" t="s">
        <v>2560</v>
      </c>
      <c r="B55" s="53" t="s">
        <v>2561</v>
      </c>
      <c r="C55" s="54" t="s">
        <v>3096</v>
      </c>
      <c r="D55" s="13" t="s">
        <v>1154</v>
      </c>
      <c r="E55" s="4" t="s">
        <v>1156</v>
      </c>
      <c r="F55" s="4" t="s">
        <v>1155</v>
      </c>
      <c r="G55" s="17" t="s">
        <v>809</v>
      </c>
      <c r="H55" s="4">
        <v>2394</v>
      </c>
      <c r="I55" s="5">
        <f t="shared" si="0"/>
        <v>1869.3646736927917</v>
      </c>
      <c r="J55" s="4">
        <v>3429</v>
      </c>
      <c r="K55" s="5">
        <f t="shared" si="1"/>
        <v>1851.2190026091985</v>
      </c>
      <c r="L55" s="5">
        <v>0</v>
      </c>
      <c r="M55" s="5">
        <v>0</v>
      </c>
      <c r="N55" s="4">
        <v>0</v>
      </c>
      <c r="O55" s="5">
        <f t="shared" si="2"/>
        <v>0</v>
      </c>
      <c r="P55" s="4">
        <v>151</v>
      </c>
      <c r="Q55" s="4">
        <v>190</v>
      </c>
      <c r="R55" s="4">
        <v>87</v>
      </c>
      <c r="S55" s="5">
        <f t="shared" si="3"/>
        <v>142.66666666666666</v>
      </c>
      <c r="T55" s="5">
        <f t="shared" si="4"/>
        <v>0.9902931347002788</v>
      </c>
      <c r="U55" s="5">
        <f t="shared" si="5"/>
        <v>144.06508706116196</v>
      </c>
      <c r="V55" s="4">
        <v>-2</v>
      </c>
      <c r="W55" s="4">
        <v>44</v>
      </c>
      <c r="X55" s="4">
        <v>-1</v>
      </c>
      <c r="Y55" s="4">
        <v>44</v>
      </c>
      <c r="Z55" s="4">
        <v>0</v>
      </c>
      <c r="AA55" s="4">
        <v>0</v>
      </c>
      <c r="AB55" s="4">
        <v>0</v>
      </c>
      <c r="AC55" s="4">
        <v>0</v>
      </c>
      <c r="AD55" s="4"/>
      <c r="AE55" s="54">
        <v>-4.3874979019165039E-4</v>
      </c>
      <c r="AF55" s="54">
        <v>-0.50330859422683716</v>
      </c>
    </row>
    <row r="56" spans="1:32" x14ac:dyDescent="0.2">
      <c r="A56" s="53" t="s">
        <v>2130</v>
      </c>
      <c r="B56" s="53" t="s">
        <v>2165</v>
      </c>
      <c r="C56" s="54" t="s">
        <v>3176</v>
      </c>
      <c r="D56" s="20" t="s">
        <v>271</v>
      </c>
      <c r="E56" s="9" t="s">
        <v>273</v>
      </c>
      <c r="F56" s="4" t="s">
        <v>272</v>
      </c>
      <c r="G56" s="29" t="s">
        <v>90</v>
      </c>
      <c r="H56" s="4">
        <v>4136</v>
      </c>
      <c r="I56" s="5">
        <f t="shared" si="0"/>
        <v>3229.6124855444386</v>
      </c>
      <c r="J56" s="4">
        <v>5065</v>
      </c>
      <c r="K56" s="5">
        <f t="shared" si="1"/>
        <v>2734.4485996545905</v>
      </c>
      <c r="L56" s="5">
        <v>0</v>
      </c>
      <c r="M56" s="5">
        <v>0</v>
      </c>
      <c r="N56" s="4">
        <v>0</v>
      </c>
      <c r="O56" s="5">
        <f t="shared" si="2"/>
        <v>0</v>
      </c>
      <c r="P56" s="4">
        <v>194</v>
      </c>
      <c r="Q56" s="4">
        <v>110</v>
      </c>
      <c r="R56" s="4">
        <v>61</v>
      </c>
      <c r="S56" s="5">
        <f t="shared" si="3"/>
        <v>121.66666666666667</v>
      </c>
      <c r="T56" s="5">
        <f t="shared" si="4"/>
        <v>0.84668009301234326</v>
      </c>
      <c r="U56" s="5">
        <f t="shared" si="5"/>
        <v>143.69850864663351</v>
      </c>
      <c r="V56" s="4">
        <v>49</v>
      </c>
      <c r="W56" s="4">
        <v>21</v>
      </c>
      <c r="X56" s="4">
        <v>-2</v>
      </c>
      <c r="Y56" s="4">
        <v>-14</v>
      </c>
      <c r="Z56" s="4">
        <v>0</v>
      </c>
      <c r="AA56" s="4">
        <v>0</v>
      </c>
      <c r="AB56" s="4">
        <v>0</v>
      </c>
      <c r="AC56" s="4">
        <v>0</v>
      </c>
      <c r="AD56" s="4"/>
      <c r="AE56" s="54">
        <v>-8.2451105117797852E-4</v>
      </c>
      <c r="AF56" s="54">
        <v>-0.65525186061859131</v>
      </c>
    </row>
    <row r="57" spans="1:32" x14ac:dyDescent="0.2">
      <c r="A57" s="53" t="s">
        <v>2683</v>
      </c>
      <c r="B57" s="53" t="s">
        <v>2728</v>
      </c>
      <c r="C57" s="54" t="s">
        <v>2959</v>
      </c>
      <c r="D57" s="13" t="s">
        <v>1375</v>
      </c>
      <c r="E57" s="4" t="s">
        <v>1377</v>
      </c>
      <c r="F57" s="4" t="s">
        <v>1376</v>
      </c>
      <c r="G57" s="17" t="s">
        <v>168</v>
      </c>
      <c r="H57" s="4">
        <v>1681</v>
      </c>
      <c r="I57" s="5">
        <f t="shared" si="0"/>
        <v>1312.615712814362</v>
      </c>
      <c r="J57" s="4">
        <v>3435</v>
      </c>
      <c r="K57" s="5">
        <f t="shared" si="1"/>
        <v>1854.4582309602206</v>
      </c>
      <c r="L57" s="5">
        <v>0</v>
      </c>
      <c r="M57" s="5">
        <v>0</v>
      </c>
      <c r="N57" s="4">
        <v>0</v>
      </c>
      <c r="O57" s="5">
        <f t="shared" si="2"/>
        <v>0</v>
      </c>
      <c r="P57" s="4">
        <v>163</v>
      </c>
      <c r="Q57" s="4">
        <v>295</v>
      </c>
      <c r="R57" s="4">
        <v>91</v>
      </c>
      <c r="S57" s="5">
        <f t="shared" si="3"/>
        <v>183</v>
      </c>
      <c r="T57" s="5">
        <f t="shared" si="4"/>
        <v>1.4127960017971302</v>
      </c>
      <c r="U57" s="5">
        <f t="shared" si="5"/>
        <v>129.53037789406048</v>
      </c>
      <c r="V57" s="4">
        <v>-10</v>
      </c>
      <c r="W57" s="4">
        <v>22</v>
      </c>
      <c r="X57" s="4">
        <v>11</v>
      </c>
      <c r="Y57" s="4">
        <v>-21</v>
      </c>
      <c r="Z57" s="4">
        <v>0</v>
      </c>
      <c r="AA57" s="4">
        <v>0</v>
      </c>
      <c r="AB57" s="4">
        <v>0</v>
      </c>
      <c r="AC57" s="4">
        <v>0</v>
      </c>
      <c r="AD57" s="4"/>
      <c r="AE57" s="54">
        <v>-9.0813636779785156E-4</v>
      </c>
      <c r="AF57" s="54">
        <v>-0.64861905574798584</v>
      </c>
    </row>
    <row r="58" spans="1:32" x14ac:dyDescent="0.2">
      <c r="A58" s="53" t="s">
        <v>2188</v>
      </c>
      <c r="B58" s="53" t="s">
        <v>2208</v>
      </c>
      <c r="C58" s="54" t="s">
        <v>3040</v>
      </c>
      <c r="D58" s="20" t="s">
        <v>332</v>
      </c>
      <c r="E58" s="9" t="s">
        <v>334</v>
      </c>
      <c r="F58" s="4" t="s">
        <v>333</v>
      </c>
      <c r="G58" s="4" t="s">
        <v>345</v>
      </c>
      <c r="H58" s="4">
        <v>1519</v>
      </c>
      <c r="I58" s="5">
        <f t="shared" si="0"/>
        <v>1186.1173514366542</v>
      </c>
      <c r="J58" s="4">
        <v>1822</v>
      </c>
      <c r="K58" s="5">
        <f t="shared" si="1"/>
        <v>983.64567592708056</v>
      </c>
      <c r="L58" s="5">
        <v>0</v>
      </c>
      <c r="M58" s="5">
        <v>0</v>
      </c>
      <c r="N58" s="4">
        <v>0</v>
      </c>
      <c r="O58" s="5">
        <f t="shared" si="2"/>
        <v>0</v>
      </c>
      <c r="P58" s="4">
        <v>116</v>
      </c>
      <c r="Q58" s="4">
        <v>113</v>
      </c>
      <c r="R58" s="4">
        <v>90</v>
      </c>
      <c r="S58" s="5">
        <f t="shared" si="3"/>
        <v>106.33333333333333</v>
      </c>
      <c r="T58" s="5">
        <f t="shared" si="4"/>
        <v>0.82929878290344961</v>
      </c>
      <c r="U58" s="5">
        <f t="shared" si="5"/>
        <v>128.22077582346228</v>
      </c>
      <c r="V58" s="4">
        <v>-12</v>
      </c>
      <c r="W58" s="4">
        <v>-23</v>
      </c>
      <c r="X58" s="4">
        <v>-11</v>
      </c>
      <c r="Y58" s="4">
        <v>4</v>
      </c>
      <c r="Z58" s="4">
        <v>0</v>
      </c>
      <c r="AA58" s="4">
        <v>0</v>
      </c>
      <c r="AB58" s="4">
        <v>0</v>
      </c>
      <c r="AC58" s="4">
        <v>0</v>
      </c>
      <c r="AD58" s="4"/>
      <c r="AE58" s="54">
        <v>1.021146774291992E-3</v>
      </c>
      <c r="AF58" s="54">
        <v>0.71620386838912964</v>
      </c>
    </row>
    <row r="59" spans="1:32" x14ac:dyDescent="0.2">
      <c r="A59" s="53" t="s">
        <v>2243</v>
      </c>
      <c r="B59" s="53" t="s">
        <v>2435</v>
      </c>
      <c r="C59" s="54" t="s">
        <v>3273</v>
      </c>
      <c r="D59" s="13" t="s">
        <v>681</v>
      </c>
      <c r="E59" s="4" t="s">
        <v>683</v>
      </c>
      <c r="F59" s="4" t="s">
        <v>682</v>
      </c>
      <c r="G59" s="10" t="s">
        <v>27</v>
      </c>
      <c r="H59" s="4">
        <v>1761</v>
      </c>
      <c r="I59" s="5">
        <f t="shared" si="0"/>
        <v>1375.0840394206375</v>
      </c>
      <c r="J59" s="4">
        <v>3345</v>
      </c>
      <c r="K59" s="5">
        <f t="shared" si="1"/>
        <v>1805.8698056948874</v>
      </c>
      <c r="L59" s="5">
        <v>0</v>
      </c>
      <c r="M59" s="5">
        <v>0</v>
      </c>
      <c r="N59" s="4">
        <v>0</v>
      </c>
      <c r="O59" s="5">
        <f t="shared" si="2"/>
        <v>0</v>
      </c>
      <c r="P59" s="4">
        <v>166</v>
      </c>
      <c r="Q59" s="4">
        <v>207</v>
      </c>
      <c r="R59" s="4">
        <v>120</v>
      </c>
      <c r="S59" s="5">
        <f t="shared" si="3"/>
        <v>164.33333333333334</v>
      </c>
      <c r="T59" s="5">
        <f t="shared" si="4"/>
        <v>1.3132795915919091</v>
      </c>
      <c r="U59" s="5">
        <f t="shared" si="5"/>
        <v>125.13202396919496</v>
      </c>
      <c r="V59" s="4">
        <v>1</v>
      </c>
      <c r="W59" s="4">
        <v>27</v>
      </c>
      <c r="X59" s="4">
        <v>1</v>
      </c>
      <c r="Y59" s="4">
        <v>4</v>
      </c>
      <c r="Z59" s="4">
        <v>0</v>
      </c>
      <c r="AA59" s="4">
        <v>0</v>
      </c>
      <c r="AB59" s="4">
        <v>0</v>
      </c>
      <c r="AC59" s="4">
        <v>0</v>
      </c>
      <c r="AD59" s="4"/>
      <c r="AE59" s="54">
        <v>8.6355209350585938E-4</v>
      </c>
      <c r="AF59" s="54">
        <v>0.64188623428344727</v>
      </c>
    </row>
    <row r="60" spans="1:32" x14ac:dyDescent="0.2">
      <c r="A60" s="53" t="s">
        <v>2130</v>
      </c>
      <c r="B60" s="53" t="s">
        <v>2134</v>
      </c>
      <c r="C60" s="54" t="s">
        <v>3145</v>
      </c>
      <c r="D60" s="20" t="s">
        <v>240</v>
      </c>
      <c r="E60" s="9" t="s">
        <v>242</v>
      </c>
      <c r="F60" s="4" t="s">
        <v>241</v>
      </c>
      <c r="G60" s="4" t="s">
        <v>27</v>
      </c>
      <c r="H60" s="4">
        <v>1253</v>
      </c>
      <c r="I60" s="5">
        <f t="shared" si="0"/>
        <v>978.41016547078868</v>
      </c>
      <c r="J60" s="4">
        <v>4305</v>
      </c>
      <c r="K60" s="5">
        <f t="shared" si="1"/>
        <v>2324.1463418584426</v>
      </c>
      <c r="L60" s="5">
        <v>0</v>
      </c>
      <c r="M60" s="5">
        <v>3</v>
      </c>
      <c r="N60" s="4">
        <v>0</v>
      </c>
      <c r="O60" s="5">
        <f t="shared" si="2"/>
        <v>1</v>
      </c>
      <c r="P60" s="4">
        <v>323</v>
      </c>
      <c r="Q60" s="4">
        <v>1155</v>
      </c>
      <c r="R60" s="4">
        <v>252</v>
      </c>
      <c r="S60" s="5">
        <f t="shared" si="3"/>
        <v>576.66666666666663</v>
      </c>
      <c r="T60" s="5">
        <f t="shared" si="4"/>
        <v>2.3754315152072407</v>
      </c>
      <c r="U60" s="5">
        <f t="shared" si="5"/>
        <v>121.38145490091225</v>
      </c>
      <c r="V60" s="4">
        <v>24</v>
      </c>
      <c r="W60" s="4">
        <v>10</v>
      </c>
      <c r="X60" s="4">
        <v>-42</v>
      </c>
      <c r="Y60" s="4">
        <v>-2</v>
      </c>
      <c r="Z60" s="4">
        <v>0</v>
      </c>
      <c r="AA60" s="4">
        <v>0</v>
      </c>
      <c r="AB60" s="4">
        <v>0</v>
      </c>
      <c r="AC60" s="4">
        <v>0</v>
      </c>
      <c r="AD60" s="4"/>
      <c r="AE60" s="54">
        <v>8.0974102020263672E-3</v>
      </c>
      <c r="AF60" s="54">
        <v>0.99746084213256836</v>
      </c>
    </row>
    <row r="61" spans="1:32" x14ac:dyDescent="0.2">
      <c r="A61" s="53" t="s">
        <v>2683</v>
      </c>
      <c r="B61" s="53" t="s">
        <v>2725</v>
      </c>
      <c r="C61" s="54" t="s">
        <v>2962</v>
      </c>
      <c r="D61" s="13" t="s">
        <v>1368</v>
      </c>
      <c r="E61" s="4" t="s">
        <v>1370</v>
      </c>
      <c r="F61" s="4" t="s">
        <v>1369</v>
      </c>
      <c r="G61" s="4" t="s">
        <v>423</v>
      </c>
      <c r="H61" s="4">
        <v>2304</v>
      </c>
      <c r="I61" s="5">
        <f t="shared" si="0"/>
        <v>1799.0878062607319</v>
      </c>
      <c r="J61" s="4">
        <v>3330</v>
      </c>
      <c r="K61" s="5">
        <f t="shared" si="1"/>
        <v>1797.7717348173319</v>
      </c>
      <c r="L61" s="5">
        <v>0</v>
      </c>
      <c r="M61" s="5">
        <v>0</v>
      </c>
      <c r="N61" s="4">
        <v>0</v>
      </c>
      <c r="O61" s="5">
        <f t="shared" si="2"/>
        <v>0</v>
      </c>
      <c r="P61" s="4">
        <v>109</v>
      </c>
      <c r="Q61" s="4">
        <v>140</v>
      </c>
      <c r="R61" s="4">
        <v>102</v>
      </c>
      <c r="S61" s="5">
        <f t="shared" si="3"/>
        <v>117</v>
      </c>
      <c r="T61" s="5">
        <f t="shared" si="4"/>
        <v>0.99926847848180611</v>
      </c>
      <c r="U61" s="5">
        <f t="shared" si="5"/>
        <v>117.08565067293898</v>
      </c>
      <c r="V61" s="4">
        <v>18</v>
      </c>
      <c r="W61" s="4">
        <v>17</v>
      </c>
      <c r="X61" s="4">
        <v>-21</v>
      </c>
      <c r="Y61" s="4">
        <v>36</v>
      </c>
      <c r="Z61" s="4">
        <v>0</v>
      </c>
      <c r="AA61" s="4">
        <v>0</v>
      </c>
      <c r="AB61" s="4">
        <v>0</v>
      </c>
      <c r="AC61" s="4">
        <v>0</v>
      </c>
      <c r="AD61" s="4"/>
      <c r="AE61" s="54">
        <v>-9.95635986328125E-4</v>
      </c>
      <c r="AF61" s="54">
        <v>-0.68079328536987305</v>
      </c>
    </row>
    <row r="62" spans="1:32" x14ac:dyDescent="0.2">
      <c r="A62" s="53" t="s">
        <v>2683</v>
      </c>
      <c r="B62" s="53" t="s">
        <v>2763</v>
      </c>
      <c r="C62" s="54" t="s">
        <v>2929</v>
      </c>
      <c r="D62" s="13" t="s">
        <v>1655</v>
      </c>
      <c r="E62" s="4" t="s">
        <v>1657</v>
      </c>
      <c r="F62" s="4" t="s">
        <v>1656</v>
      </c>
      <c r="G62" s="4" t="s">
        <v>46</v>
      </c>
      <c r="H62" s="4">
        <v>1318</v>
      </c>
      <c r="I62" s="5">
        <f t="shared" si="0"/>
        <v>1029.1656808383875</v>
      </c>
      <c r="J62" s="4">
        <v>1808</v>
      </c>
      <c r="K62" s="5">
        <f t="shared" si="1"/>
        <v>976.08747644136213</v>
      </c>
      <c r="L62" s="5">
        <v>0</v>
      </c>
      <c r="M62" s="5">
        <v>0</v>
      </c>
      <c r="N62" s="4">
        <v>0</v>
      </c>
      <c r="O62" s="5">
        <f t="shared" si="2"/>
        <v>0</v>
      </c>
      <c r="P62" s="4">
        <v>109</v>
      </c>
      <c r="Q62" s="4">
        <v>134</v>
      </c>
      <c r="R62" s="4">
        <v>84</v>
      </c>
      <c r="S62" s="5">
        <f t="shared" si="3"/>
        <v>109</v>
      </c>
      <c r="T62" s="5">
        <f t="shared" si="4"/>
        <v>0.94842598681119417</v>
      </c>
      <c r="U62" s="5">
        <f t="shared" si="5"/>
        <v>114.92726002424367</v>
      </c>
      <c r="V62" s="4">
        <v>2</v>
      </c>
      <c r="W62" s="4">
        <v>15</v>
      </c>
      <c r="X62" s="4">
        <v>-38</v>
      </c>
      <c r="Y62" s="4">
        <v>6</v>
      </c>
      <c r="Z62" s="4">
        <v>0</v>
      </c>
      <c r="AA62" s="4">
        <v>0</v>
      </c>
      <c r="AB62" s="4">
        <v>0</v>
      </c>
      <c r="AC62" s="4">
        <v>0</v>
      </c>
      <c r="AD62" s="4"/>
      <c r="AE62" s="54">
        <v>6.8950653076171875E-4</v>
      </c>
      <c r="AF62" s="54">
        <v>0.57673150300979614</v>
      </c>
    </row>
    <row r="63" spans="1:32" x14ac:dyDescent="0.2">
      <c r="A63" s="53" t="s">
        <v>2243</v>
      </c>
      <c r="B63" s="53" t="s">
        <v>2303</v>
      </c>
      <c r="C63" s="54" t="s">
        <v>3387</v>
      </c>
      <c r="D63" s="13" t="s">
        <v>545</v>
      </c>
      <c r="E63" s="4" t="s">
        <v>547</v>
      </c>
      <c r="F63" s="4" t="s">
        <v>546</v>
      </c>
      <c r="G63" s="4" t="s">
        <v>81</v>
      </c>
      <c r="H63" s="4">
        <v>1078</v>
      </c>
      <c r="I63" s="5">
        <f t="shared" si="0"/>
        <v>841.76070101956122</v>
      </c>
      <c r="J63" s="4">
        <v>3208</v>
      </c>
      <c r="K63" s="5">
        <f t="shared" si="1"/>
        <v>1731.9074250132135</v>
      </c>
      <c r="L63" s="5">
        <v>0</v>
      </c>
      <c r="M63" s="5">
        <v>0</v>
      </c>
      <c r="N63" s="4">
        <v>0</v>
      </c>
      <c r="O63" s="5">
        <f t="shared" si="2"/>
        <v>0</v>
      </c>
      <c r="P63" s="4">
        <v>276</v>
      </c>
      <c r="Q63" s="4">
        <v>295</v>
      </c>
      <c r="R63" s="4">
        <v>105</v>
      </c>
      <c r="S63" s="5">
        <f t="shared" si="3"/>
        <v>225.33333333333334</v>
      </c>
      <c r="T63" s="5">
        <f t="shared" si="4"/>
        <v>2.0574819220183178</v>
      </c>
      <c r="U63" s="5">
        <f t="shared" si="5"/>
        <v>109.5189857669754</v>
      </c>
      <c r="V63" s="4">
        <v>-24</v>
      </c>
      <c r="W63" s="4">
        <v>-2</v>
      </c>
      <c r="X63" s="4">
        <v>18</v>
      </c>
      <c r="Y63" s="4">
        <v>-2</v>
      </c>
      <c r="Z63" s="4">
        <v>0</v>
      </c>
      <c r="AA63" s="4">
        <v>0</v>
      </c>
      <c r="AB63" s="4">
        <v>0</v>
      </c>
      <c r="AC63" s="4">
        <v>0</v>
      </c>
      <c r="AD63" s="4"/>
      <c r="AE63" s="54">
        <v>2.540826797485352E-3</v>
      </c>
      <c r="AF63" s="54">
        <v>0.92045027017593384</v>
      </c>
    </row>
    <row r="64" spans="1:32" x14ac:dyDescent="0.2">
      <c r="A64" s="53" t="s">
        <v>2563</v>
      </c>
      <c r="B64" s="53" t="s">
        <v>2562</v>
      </c>
      <c r="C64" s="54" t="s">
        <v>3061</v>
      </c>
      <c r="D64" s="13" t="s">
        <v>1171</v>
      </c>
      <c r="E64" s="4" t="s">
        <v>1173</v>
      </c>
      <c r="F64" s="4" t="s">
        <v>1172</v>
      </c>
      <c r="G64" s="4" t="s">
        <v>423</v>
      </c>
      <c r="H64" s="4">
        <v>716</v>
      </c>
      <c r="I64" s="5">
        <f t="shared" si="0"/>
        <v>559.09152312616493</v>
      </c>
      <c r="J64" s="4">
        <v>3493</v>
      </c>
      <c r="K64" s="5">
        <f t="shared" si="1"/>
        <v>1885.7707716867687</v>
      </c>
      <c r="L64" s="5">
        <v>0</v>
      </c>
      <c r="M64" s="5">
        <v>0</v>
      </c>
      <c r="N64" s="4">
        <v>0</v>
      </c>
      <c r="O64" s="5">
        <f t="shared" si="2"/>
        <v>0</v>
      </c>
      <c r="P64" s="4">
        <v>386</v>
      </c>
      <c r="Q64" s="4">
        <v>462</v>
      </c>
      <c r="R64" s="4">
        <v>237</v>
      </c>
      <c r="S64" s="5">
        <f t="shared" si="3"/>
        <v>361.66666666666669</v>
      </c>
      <c r="T64" s="5">
        <f t="shared" si="4"/>
        <v>3.3729196270808504</v>
      </c>
      <c r="U64" s="5">
        <f t="shared" si="5"/>
        <v>107.22658902479604</v>
      </c>
      <c r="V64" s="4">
        <v>-43</v>
      </c>
      <c r="W64" s="4">
        <v>-8</v>
      </c>
      <c r="X64" s="4">
        <v>11</v>
      </c>
      <c r="Y64" s="4">
        <v>-36</v>
      </c>
      <c r="Z64" s="4">
        <v>0</v>
      </c>
      <c r="AA64" s="4">
        <v>0</v>
      </c>
      <c r="AB64" s="4">
        <v>0</v>
      </c>
      <c r="AC64" s="4">
        <v>0</v>
      </c>
      <c r="AD64" s="4"/>
      <c r="AE64" s="54">
        <v>6.6506862640380859E-4</v>
      </c>
      <c r="AF64" s="54">
        <v>0.60670804977416992</v>
      </c>
    </row>
    <row r="65" spans="1:32" x14ac:dyDescent="0.2">
      <c r="A65" s="53" t="s">
        <v>2538</v>
      </c>
      <c r="B65" s="53" t="s">
        <v>2539</v>
      </c>
      <c r="C65" s="54" t="s">
        <v>2881</v>
      </c>
      <c r="D65" s="13" t="s">
        <v>1121</v>
      </c>
      <c r="E65" s="4" t="s">
        <v>1123</v>
      </c>
      <c r="F65" s="4" t="s">
        <v>1122</v>
      </c>
      <c r="G65" s="4" t="s">
        <v>38</v>
      </c>
      <c r="H65" s="4">
        <v>1516</v>
      </c>
      <c r="I65" s="5">
        <f t="shared" si="0"/>
        <v>1183.7747891889192</v>
      </c>
      <c r="J65" s="4">
        <v>1851</v>
      </c>
      <c r="K65" s="5">
        <f t="shared" si="1"/>
        <v>999.30194629035464</v>
      </c>
      <c r="L65" s="5">
        <v>0</v>
      </c>
      <c r="M65" s="5">
        <v>0</v>
      </c>
      <c r="N65" s="4">
        <v>7</v>
      </c>
      <c r="O65" s="5">
        <f t="shared" si="2"/>
        <v>2.3333333333333335</v>
      </c>
      <c r="P65" s="4">
        <v>103</v>
      </c>
      <c r="Q65" s="4">
        <v>101</v>
      </c>
      <c r="R65" s="4">
        <v>672</v>
      </c>
      <c r="S65" s="5">
        <f t="shared" si="3"/>
        <v>292</v>
      </c>
      <c r="T65" s="5">
        <f t="shared" si="4"/>
        <v>0.84416559248997114</v>
      </c>
      <c r="U65" s="5">
        <f t="shared" si="5"/>
        <v>103.77110934077866</v>
      </c>
      <c r="V65" s="4">
        <v>-13</v>
      </c>
      <c r="W65" s="4">
        <v>-1</v>
      </c>
      <c r="X65" s="4">
        <v>-13</v>
      </c>
      <c r="Y65" s="4">
        <v>-35</v>
      </c>
      <c r="Z65" s="4">
        <v>0</v>
      </c>
      <c r="AA65" s="4">
        <v>0</v>
      </c>
      <c r="AB65" s="4">
        <v>0</v>
      </c>
      <c r="AC65" s="4">
        <v>0</v>
      </c>
      <c r="AD65" s="4"/>
      <c r="AE65" s="54">
        <v>1.6939640045166021E-4</v>
      </c>
      <c r="AF65" s="54">
        <v>0.35324940085411072</v>
      </c>
    </row>
    <row r="66" spans="1:32" x14ac:dyDescent="0.2">
      <c r="A66" s="53" t="s">
        <v>2130</v>
      </c>
      <c r="B66" s="53" t="s">
        <v>2148</v>
      </c>
      <c r="C66" s="54" t="s">
        <v>3160</v>
      </c>
      <c r="D66" s="28" t="s">
        <v>246</v>
      </c>
      <c r="E66" s="9" t="s">
        <v>248</v>
      </c>
      <c r="F66" s="4" t="s">
        <v>247</v>
      </c>
      <c r="G66" s="15" t="s">
        <v>188</v>
      </c>
      <c r="H66" s="19">
        <v>895</v>
      </c>
      <c r="I66" s="26">
        <f t="shared" ref="I66:I129" si="6">H66/H$677*1000000</f>
        <v>698.86440390770622</v>
      </c>
      <c r="J66" s="19">
        <v>3797</v>
      </c>
      <c r="K66" s="26">
        <f t="shared" ref="K66:K129" si="7">J66/J$677*1000000</f>
        <v>2049.8916748052279</v>
      </c>
      <c r="L66" s="26">
        <v>1</v>
      </c>
      <c r="M66" s="26">
        <v>3</v>
      </c>
      <c r="N66" s="19">
        <v>0</v>
      </c>
      <c r="O66" s="26">
        <f t="shared" ref="O66:O129" si="8">AVERAGE(L66:N66)</f>
        <v>1.3333333333333333</v>
      </c>
      <c r="P66" s="19">
        <v>227</v>
      </c>
      <c r="Q66" s="19">
        <v>258</v>
      </c>
      <c r="R66" s="19">
        <v>1562</v>
      </c>
      <c r="S66" s="26">
        <f t="shared" ref="S66:S129" si="9">AVERAGE(P66:R66)</f>
        <v>682.33333333333337</v>
      </c>
      <c r="T66" s="5">
        <f t="shared" ref="T66:T129" si="10">K66/I66</f>
        <v>2.9331751099973631</v>
      </c>
      <c r="U66" s="5">
        <f t="shared" ref="U66:U129" si="11">S66/((O66+1)*T66)</f>
        <v>99.696936071721396</v>
      </c>
      <c r="V66" s="19">
        <v>-13</v>
      </c>
      <c r="W66" s="19">
        <v>-1</v>
      </c>
      <c r="X66" s="19">
        <v>-5</v>
      </c>
      <c r="Y66" s="19">
        <v>-1</v>
      </c>
      <c r="Z66" s="19">
        <v>0</v>
      </c>
      <c r="AA66" s="19">
        <v>0</v>
      </c>
      <c r="AB66" s="19">
        <v>0</v>
      </c>
      <c r="AC66" s="19">
        <v>0</v>
      </c>
      <c r="AD66" s="4"/>
      <c r="AE66" s="54">
        <v>-1.238167285919189E-3</v>
      </c>
      <c r="AF66" s="54">
        <v>-0.7631148099899292</v>
      </c>
    </row>
    <row r="67" spans="1:32" x14ac:dyDescent="0.2">
      <c r="A67" s="53" t="s">
        <v>2170</v>
      </c>
      <c r="B67" s="53" t="s">
        <v>2169</v>
      </c>
      <c r="C67" s="54" t="s">
        <v>3107</v>
      </c>
      <c r="D67" s="20" t="s">
        <v>277</v>
      </c>
      <c r="E67" s="9" t="s">
        <v>279</v>
      </c>
      <c r="F67" s="4" t="s">
        <v>278</v>
      </c>
      <c r="G67" s="12" t="s">
        <v>22</v>
      </c>
      <c r="H67" s="4">
        <v>1121</v>
      </c>
      <c r="I67" s="5">
        <f t="shared" si="6"/>
        <v>875.33742657043422</v>
      </c>
      <c r="J67" s="4">
        <v>3936</v>
      </c>
      <c r="K67" s="5">
        <f t="shared" si="7"/>
        <v>2124.9337982705756</v>
      </c>
      <c r="L67" s="5">
        <v>0</v>
      </c>
      <c r="M67" s="5">
        <v>0</v>
      </c>
      <c r="N67" s="4">
        <v>0</v>
      </c>
      <c r="O67" s="5">
        <f t="shared" si="8"/>
        <v>0</v>
      </c>
      <c r="P67" s="4">
        <v>256</v>
      </c>
      <c r="Q67" s="4">
        <v>280</v>
      </c>
      <c r="R67" s="4">
        <v>185</v>
      </c>
      <c r="S67" s="5">
        <f t="shared" si="9"/>
        <v>240.33333333333334</v>
      </c>
      <c r="T67" s="5">
        <f t="shared" si="10"/>
        <v>2.427559628743456</v>
      </c>
      <c r="U67" s="5">
        <f t="shared" si="11"/>
        <v>99.00203088223779</v>
      </c>
      <c r="V67" s="4">
        <v>-9</v>
      </c>
      <c r="W67" s="4">
        <v>-18</v>
      </c>
      <c r="X67" s="4">
        <v>3</v>
      </c>
      <c r="Y67" s="4">
        <v>-18</v>
      </c>
      <c r="Z67" s="4">
        <v>0</v>
      </c>
      <c r="AA67" s="4">
        <v>0</v>
      </c>
      <c r="AB67" s="4">
        <v>0</v>
      </c>
      <c r="AC67" s="4">
        <v>0</v>
      </c>
      <c r="AD67" s="4"/>
      <c r="AE67" s="54">
        <v>4.5216083526611328E-4</v>
      </c>
      <c r="AF67" s="54">
        <v>0.52033525705337524</v>
      </c>
    </row>
    <row r="68" spans="1:32" x14ac:dyDescent="0.2">
      <c r="A68" s="53" t="s">
        <v>2243</v>
      </c>
      <c r="B68" s="53" t="s">
        <v>2341</v>
      </c>
      <c r="C68" s="54" t="s">
        <v>3358</v>
      </c>
      <c r="D68" s="13" t="s">
        <v>813</v>
      </c>
      <c r="E68" s="4" t="s">
        <v>815</v>
      </c>
      <c r="F68" s="4" t="s">
        <v>814</v>
      </c>
      <c r="G68" s="4" t="s">
        <v>714</v>
      </c>
      <c r="H68" s="4">
        <v>2023</v>
      </c>
      <c r="I68" s="5">
        <f t="shared" si="6"/>
        <v>1579.6678090561895</v>
      </c>
      <c r="J68" s="4">
        <v>1385</v>
      </c>
      <c r="K68" s="5">
        <f t="shared" si="7"/>
        <v>747.72187769429559</v>
      </c>
      <c r="L68" s="5">
        <v>0</v>
      </c>
      <c r="M68" s="5">
        <v>0</v>
      </c>
      <c r="N68" s="5">
        <v>0</v>
      </c>
      <c r="O68" s="5">
        <f t="shared" si="8"/>
        <v>0</v>
      </c>
      <c r="P68" s="4">
        <v>40</v>
      </c>
      <c r="Q68" s="4">
        <v>56</v>
      </c>
      <c r="R68" s="4">
        <v>34</v>
      </c>
      <c r="S68" s="5">
        <f t="shared" si="9"/>
        <v>43.333333333333336</v>
      </c>
      <c r="T68" s="5">
        <f t="shared" si="10"/>
        <v>0.47334121351820163</v>
      </c>
      <c r="U68" s="5">
        <f t="shared" si="11"/>
        <v>91.547771661904989</v>
      </c>
      <c r="V68" s="4">
        <v>42</v>
      </c>
      <c r="W68" s="4">
        <v>-6</v>
      </c>
      <c r="X68" s="4">
        <v>42</v>
      </c>
      <c r="Y68" s="4">
        <v>-41</v>
      </c>
      <c r="Z68" s="4">
        <v>0</v>
      </c>
      <c r="AA68" s="4">
        <v>0</v>
      </c>
      <c r="AB68" s="4">
        <v>0</v>
      </c>
      <c r="AC68" s="4">
        <v>0</v>
      </c>
      <c r="AD68" s="4"/>
      <c r="AE68" s="54">
        <v>-2.2616386413574219E-3</v>
      </c>
      <c r="AF68" s="54">
        <v>-0.89638954401016235</v>
      </c>
    </row>
    <row r="69" spans="1:32" x14ac:dyDescent="0.2">
      <c r="A69" s="53" t="s">
        <v>2787</v>
      </c>
      <c r="B69" s="53" t="s">
        <v>2811</v>
      </c>
      <c r="C69" s="54" t="s">
        <v>3500</v>
      </c>
      <c r="D69" s="13" t="s">
        <v>1412</v>
      </c>
      <c r="E69" s="4" t="s">
        <v>1414</v>
      </c>
      <c r="F69" s="4" t="s">
        <v>1413</v>
      </c>
      <c r="G69" s="4" t="s">
        <v>132</v>
      </c>
      <c r="H69" s="4">
        <v>967</v>
      </c>
      <c r="I69" s="5">
        <f t="shared" si="6"/>
        <v>755.08589785335403</v>
      </c>
      <c r="J69" s="4">
        <v>752</v>
      </c>
      <c r="K69" s="5">
        <f t="shared" si="7"/>
        <v>405.98328666145153</v>
      </c>
      <c r="L69" s="5">
        <v>0</v>
      </c>
      <c r="M69" s="5">
        <v>0</v>
      </c>
      <c r="N69" s="5">
        <v>0</v>
      </c>
      <c r="O69" s="5">
        <f t="shared" si="8"/>
        <v>0</v>
      </c>
      <c r="P69" s="4">
        <v>63</v>
      </c>
      <c r="Q69" s="4">
        <v>63</v>
      </c>
      <c r="R69" s="4">
        <v>19</v>
      </c>
      <c r="S69" s="5">
        <f t="shared" si="9"/>
        <v>48.333333333333336</v>
      </c>
      <c r="T69" s="5">
        <f t="shared" si="10"/>
        <v>0.53766503627683682</v>
      </c>
      <c r="U69" s="5">
        <f t="shared" si="11"/>
        <v>89.89487891574025</v>
      </c>
      <c r="V69" s="4" t="s">
        <v>21</v>
      </c>
      <c r="W69" s="4" t="s">
        <v>21</v>
      </c>
      <c r="X69" s="4" t="s">
        <v>21</v>
      </c>
      <c r="Y69" s="4" t="s">
        <v>21</v>
      </c>
      <c r="Z69" s="4">
        <v>0</v>
      </c>
      <c r="AA69" s="4">
        <v>0</v>
      </c>
      <c r="AB69" s="4">
        <v>0</v>
      </c>
      <c r="AC69" s="4">
        <v>0</v>
      </c>
      <c r="AD69" s="4"/>
      <c r="AE69" s="54">
        <v>3.6311149597167969E-4</v>
      </c>
      <c r="AF69" s="54">
        <v>0.47702011466026312</v>
      </c>
    </row>
    <row r="70" spans="1:32" x14ac:dyDescent="0.2">
      <c r="A70" s="53" t="s">
        <v>2683</v>
      </c>
      <c r="B70" s="53" t="s">
        <v>2738</v>
      </c>
      <c r="C70" s="54" t="s">
        <v>2949</v>
      </c>
      <c r="D70" s="13" t="s">
        <v>112</v>
      </c>
      <c r="E70" s="4" t="s">
        <v>114</v>
      </c>
      <c r="F70" s="4" t="s">
        <v>113</v>
      </c>
      <c r="G70" s="4" t="s">
        <v>46</v>
      </c>
      <c r="H70" s="4">
        <v>1203</v>
      </c>
      <c r="I70" s="5">
        <f t="shared" si="6"/>
        <v>939.36746134186649</v>
      </c>
      <c r="J70" s="4">
        <v>4907</v>
      </c>
      <c r="K70" s="5">
        <f t="shared" si="7"/>
        <v>2649.1489197443384</v>
      </c>
      <c r="L70" s="5">
        <v>0</v>
      </c>
      <c r="M70" s="5">
        <v>4</v>
      </c>
      <c r="N70" s="4">
        <v>0</v>
      </c>
      <c r="O70" s="5">
        <f t="shared" si="8"/>
        <v>1.3333333333333333</v>
      </c>
      <c r="P70" s="4">
        <v>213</v>
      </c>
      <c r="Q70" s="4">
        <v>1224</v>
      </c>
      <c r="R70" s="4">
        <v>192</v>
      </c>
      <c r="S70" s="5">
        <f t="shared" si="9"/>
        <v>543</v>
      </c>
      <c r="T70" s="5">
        <f t="shared" si="10"/>
        <v>2.8201412426614025</v>
      </c>
      <c r="U70" s="5">
        <f t="shared" si="11"/>
        <v>82.518663318674911</v>
      </c>
      <c r="V70" s="4" t="s">
        <v>21</v>
      </c>
      <c r="W70" s="4" t="s">
        <v>21</v>
      </c>
      <c r="X70" s="4" t="s">
        <v>21</v>
      </c>
      <c r="Y70" s="4" t="s">
        <v>21</v>
      </c>
      <c r="Z70" s="4" t="s">
        <v>21</v>
      </c>
      <c r="AA70" s="4" t="s">
        <v>21</v>
      </c>
      <c r="AB70" s="4">
        <v>0</v>
      </c>
      <c r="AC70" s="4">
        <v>0</v>
      </c>
      <c r="AD70" s="4"/>
      <c r="AE70" s="54">
        <v>-3.7455558776855469E-4</v>
      </c>
      <c r="AF70" s="54">
        <v>-0.41229036450386047</v>
      </c>
    </row>
    <row r="71" spans="1:32" x14ac:dyDescent="0.2">
      <c r="A71" s="53" t="s">
        <v>2683</v>
      </c>
      <c r="B71" s="53" t="s">
        <v>2740</v>
      </c>
      <c r="C71" s="54" t="s">
        <v>2947</v>
      </c>
      <c r="D71" s="13" t="s">
        <v>1537</v>
      </c>
      <c r="E71" s="4" t="s">
        <v>1539</v>
      </c>
      <c r="F71" s="4" t="s">
        <v>1538</v>
      </c>
      <c r="G71" s="4" t="s">
        <v>46</v>
      </c>
      <c r="H71" s="4">
        <v>468</v>
      </c>
      <c r="I71" s="5">
        <f t="shared" si="6"/>
        <v>365.43971064671115</v>
      </c>
      <c r="J71" s="4">
        <v>3068</v>
      </c>
      <c r="K71" s="5">
        <f t="shared" si="7"/>
        <v>1656.3254301560282</v>
      </c>
      <c r="L71" s="5">
        <v>0</v>
      </c>
      <c r="M71" s="5">
        <v>0</v>
      </c>
      <c r="N71" s="4">
        <v>0</v>
      </c>
      <c r="O71" s="5">
        <f t="shared" si="8"/>
        <v>0</v>
      </c>
      <c r="P71" s="4">
        <v>392</v>
      </c>
      <c r="Q71" s="4">
        <v>375</v>
      </c>
      <c r="R71" s="4">
        <v>296</v>
      </c>
      <c r="S71" s="5">
        <f t="shared" si="9"/>
        <v>354.33333333333331</v>
      </c>
      <c r="T71" s="5">
        <f t="shared" si="10"/>
        <v>4.532417747444204</v>
      </c>
      <c r="U71" s="5">
        <f t="shared" si="11"/>
        <v>78.17755402911375</v>
      </c>
      <c r="V71" s="4">
        <v>-21</v>
      </c>
      <c r="W71" s="4">
        <v>17</v>
      </c>
      <c r="X71" s="4">
        <v>-1</v>
      </c>
      <c r="Y71" s="4">
        <v>-13</v>
      </c>
      <c r="Z71" s="4">
        <v>0</v>
      </c>
      <c r="AA71" s="4">
        <v>0</v>
      </c>
      <c r="AB71" s="4">
        <v>0</v>
      </c>
      <c r="AC71" s="4">
        <v>0</v>
      </c>
      <c r="AD71" s="4"/>
      <c r="AE71" s="54">
        <v>-1.6777515411376951E-3</v>
      </c>
      <c r="AF71" s="54">
        <v>-0.82639890909194946</v>
      </c>
    </row>
    <row r="72" spans="1:32" x14ac:dyDescent="0.2">
      <c r="A72" s="53" t="s">
        <v>2243</v>
      </c>
      <c r="B72" s="53" t="s">
        <v>2359</v>
      </c>
      <c r="C72" s="54" t="s">
        <v>3345</v>
      </c>
      <c r="D72" s="13" t="s">
        <v>629</v>
      </c>
      <c r="E72" s="4" t="s">
        <v>631</v>
      </c>
      <c r="F72" s="4" t="s">
        <v>630</v>
      </c>
      <c r="G72" s="23" t="s">
        <v>293</v>
      </c>
      <c r="H72" s="4">
        <v>436</v>
      </c>
      <c r="I72" s="5">
        <f t="shared" si="6"/>
        <v>340.45238000420102</v>
      </c>
      <c r="J72" s="4">
        <v>5068</v>
      </c>
      <c r="K72" s="5">
        <f t="shared" si="7"/>
        <v>2736.0682138301017</v>
      </c>
      <c r="L72" s="5">
        <v>0</v>
      </c>
      <c r="M72" s="5">
        <v>2</v>
      </c>
      <c r="N72" s="4">
        <v>0</v>
      </c>
      <c r="O72" s="5">
        <f t="shared" si="8"/>
        <v>0.66666666666666663</v>
      </c>
      <c r="P72" s="5">
        <v>1480</v>
      </c>
      <c r="Q72" s="5">
        <v>1598</v>
      </c>
      <c r="R72" s="5">
        <v>55.4</v>
      </c>
      <c r="S72" s="5">
        <f t="shared" si="9"/>
        <v>1044.4666666666667</v>
      </c>
      <c r="T72" s="5">
        <f t="shared" si="10"/>
        <v>8.0365665641589583</v>
      </c>
      <c r="U72" s="5">
        <f t="shared" si="11"/>
        <v>77.978573934151612</v>
      </c>
      <c r="V72" s="4">
        <v>26</v>
      </c>
      <c r="W72" s="4">
        <v>50</v>
      </c>
      <c r="X72" s="4">
        <v>26</v>
      </c>
      <c r="Y72" s="4">
        <v>23</v>
      </c>
      <c r="Z72" s="4">
        <v>0</v>
      </c>
      <c r="AA72" s="4">
        <v>0</v>
      </c>
      <c r="AB72" s="4">
        <v>0</v>
      </c>
      <c r="AC72" s="4">
        <v>0</v>
      </c>
      <c r="AD72" s="4"/>
      <c r="AE72" s="54">
        <v>-2.2535324096679692E-3</v>
      </c>
      <c r="AF72" s="54">
        <v>-0.89638954401016235</v>
      </c>
    </row>
    <row r="73" spans="1:32" x14ac:dyDescent="0.2">
      <c r="A73" s="53" t="s">
        <v>2787</v>
      </c>
      <c r="B73" s="53" t="s">
        <v>2810</v>
      </c>
      <c r="C73" s="54" t="s">
        <v>3499</v>
      </c>
      <c r="D73" s="13" t="s">
        <v>1862</v>
      </c>
      <c r="E73" s="4" t="s">
        <v>1864</v>
      </c>
      <c r="F73" s="4" t="s">
        <v>1863</v>
      </c>
      <c r="G73" s="4" t="s">
        <v>132</v>
      </c>
      <c r="H73" s="4">
        <v>1368</v>
      </c>
      <c r="I73" s="5">
        <f t="shared" si="6"/>
        <v>1068.2083849673095</v>
      </c>
      <c r="J73" s="4">
        <v>2920</v>
      </c>
      <c r="K73" s="5">
        <f t="shared" si="7"/>
        <v>1576.4244641641469</v>
      </c>
      <c r="L73" s="5">
        <v>4</v>
      </c>
      <c r="M73" s="5">
        <v>0</v>
      </c>
      <c r="N73" s="4">
        <v>0</v>
      </c>
      <c r="O73" s="5">
        <f t="shared" si="8"/>
        <v>1.3333333333333333</v>
      </c>
      <c r="P73" s="4">
        <v>240</v>
      </c>
      <c r="Q73" s="4">
        <v>68</v>
      </c>
      <c r="R73" s="4">
        <v>454</v>
      </c>
      <c r="S73" s="5">
        <f t="shared" si="9"/>
        <v>254</v>
      </c>
      <c r="T73" s="5">
        <f t="shared" si="10"/>
        <v>1.4757649222275955</v>
      </c>
      <c r="U73" s="5">
        <f t="shared" si="11"/>
        <v>73.763199827807469</v>
      </c>
      <c r="V73" s="4">
        <v>2</v>
      </c>
      <c r="W73" s="4">
        <v>-35</v>
      </c>
      <c r="X73" s="4">
        <v>-10</v>
      </c>
      <c r="Y73" s="4">
        <v>26</v>
      </c>
      <c r="Z73" s="4">
        <v>0</v>
      </c>
      <c r="AA73" s="4">
        <v>0</v>
      </c>
      <c r="AB73" s="4">
        <v>0</v>
      </c>
      <c r="AC73" s="4">
        <v>0</v>
      </c>
      <c r="AD73" s="4"/>
      <c r="AE73" s="54">
        <v>5.0884485244750977E-4</v>
      </c>
      <c r="AF73" s="54">
        <v>0.54511702060699463</v>
      </c>
    </row>
    <row r="74" spans="1:32" x14ac:dyDescent="0.2">
      <c r="A74" s="53" t="s">
        <v>2222</v>
      </c>
      <c r="B74" s="53" t="s">
        <v>2221</v>
      </c>
      <c r="C74" s="54" t="s">
        <v>3065</v>
      </c>
      <c r="D74" s="13" t="s">
        <v>336</v>
      </c>
      <c r="E74" s="4" t="s">
        <v>338</v>
      </c>
      <c r="F74" s="4" t="s">
        <v>337</v>
      </c>
      <c r="G74" s="12" t="s">
        <v>22</v>
      </c>
      <c r="H74" s="4">
        <v>1868</v>
      </c>
      <c r="I74" s="5">
        <f t="shared" si="6"/>
        <v>1458.635426256531</v>
      </c>
      <c r="J74" s="4">
        <v>3507</v>
      </c>
      <c r="K74" s="5">
        <f t="shared" si="7"/>
        <v>1893.3289711724874</v>
      </c>
      <c r="L74" s="5">
        <v>0</v>
      </c>
      <c r="M74" s="5">
        <v>2</v>
      </c>
      <c r="N74" s="4">
        <v>0</v>
      </c>
      <c r="O74" s="5">
        <f t="shared" si="8"/>
        <v>0.66666666666666663</v>
      </c>
      <c r="P74" s="4">
        <v>98</v>
      </c>
      <c r="Q74" s="4">
        <v>220</v>
      </c>
      <c r="R74" s="4">
        <v>159</v>
      </c>
      <c r="S74" s="5">
        <f t="shared" si="9"/>
        <v>159</v>
      </c>
      <c r="T74" s="5">
        <f t="shared" si="10"/>
        <v>1.2980138402586052</v>
      </c>
      <c r="U74" s="5">
        <f t="shared" si="11"/>
        <v>73.496905072285912</v>
      </c>
      <c r="V74" s="4">
        <v>-1</v>
      </c>
      <c r="W74" s="4">
        <v>-8</v>
      </c>
      <c r="X74" s="4">
        <v>-50</v>
      </c>
      <c r="Y74" s="4">
        <v>-8</v>
      </c>
      <c r="Z74" s="4">
        <v>0</v>
      </c>
      <c r="AA74" s="4">
        <v>0</v>
      </c>
      <c r="AB74" s="4">
        <v>0</v>
      </c>
      <c r="AC74" s="4">
        <v>0</v>
      </c>
      <c r="AD74" s="4"/>
      <c r="AE74" s="54">
        <v>-1.1993408203125E-2</v>
      </c>
      <c r="AF74" s="54">
        <v>-0.99863725900650024</v>
      </c>
    </row>
    <row r="75" spans="1:32" x14ac:dyDescent="0.2">
      <c r="A75" s="53" t="s">
        <v>2097</v>
      </c>
      <c r="B75" s="53" t="s">
        <v>2109</v>
      </c>
      <c r="C75" s="54" t="s">
        <v>2998</v>
      </c>
      <c r="D75" s="18" t="s">
        <v>208</v>
      </c>
      <c r="E75" s="15" t="s">
        <v>210</v>
      </c>
      <c r="F75" s="4" t="s">
        <v>209</v>
      </c>
      <c r="G75" s="12" t="s">
        <v>22</v>
      </c>
      <c r="H75" s="4">
        <v>2987</v>
      </c>
      <c r="I75" s="5">
        <f t="shared" si="6"/>
        <v>2332.4111446618081</v>
      </c>
      <c r="J75" s="4">
        <v>3349</v>
      </c>
      <c r="K75" s="5">
        <f t="shared" si="7"/>
        <v>1808.0292912622356</v>
      </c>
      <c r="L75" s="5">
        <v>0</v>
      </c>
      <c r="M75" s="5">
        <v>0</v>
      </c>
      <c r="N75" s="5">
        <v>0</v>
      </c>
      <c r="O75" s="5">
        <f t="shared" si="8"/>
        <v>0</v>
      </c>
      <c r="P75" s="4">
        <v>73</v>
      </c>
      <c r="Q75" s="4">
        <v>64</v>
      </c>
      <c r="R75" s="4">
        <v>30</v>
      </c>
      <c r="S75" s="5">
        <f t="shared" si="9"/>
        <v>55.666666666666664</v>
      </c>
      <c r="T75" s="5">
        <f t="shared" si="10"/>
        <v>0.77517606422018437</v>
      </c>
      <c r="U75" s="5">
        <f t="shared" si="11"/>
        <v>71.811642846153291</v>
      </c>
      <c r="V75" s="4">
        <v>4</v>
      </c>
      <c r="W75" s="4">
        <v>33</v>
      </c>
      <c r="X75" s="4">
        <v>20</v>
      </c>
      <c r="Y75" s="4">
        <v>33</v>
      </c>
      <c r="Z75" s="4">
        <v>0</v>
      </c>
      <c r="AA75" s="4">
        <v>0</v>
      </c>
      <c r="AB75" s="4">
        <v>0</v>
      </c>
      <c r="AC75" s="4">
        <v>0</v>
      </c>
      <c r="AD75" s="4"/>
      <c r="AE75" s="54">
        <v>-2.8043985366821289E-3</v>
      </c>
      <c r="AF75" s="54">
        <v>-0.93341141939163208</v>
      </c>
    </row>
    <row r="76" spans="1:32" x14ac:dyDescent="0.2">
      <c r="A76" s="53" t="s">
        <v>2683</v>
      </c>
      <c r="B76" s="53" t="s">
        <v>2715</v>
      </c>
      <c r="C76" s="54" t="s">
        <v>2972</v>
      </c>
      <c r="D76" s="13" t="s">
        <v>1341</v>
      </c>
      <c r="E76" s="4" t="s">
        <v>1343</v>
      </c>
      <c r="F76" s="4" t="s">
        <v>1342</v>
      </c>
      <c r="G76" s="4" t="s">
        <v>38</v>
      </c>
      <c r="H76" s="4">
        <v>139</v>
      </c>
      <c r="I76" s="5">
        <f t="shared" si="6"/>
        <v>108.53871747840353</v>
      </c>
      <c r="J76" s="4">
        <v>4418</v>
      </c>
      <c r="K76" s="5">
        <f t="shared" si="7"/>
        <v>2385.1518091360276</v>
      </c>
      <c r="L76" s="5">
        <v>1</v>
      </c>
      <c r="M76" s="5">
        <v>0</v>
      </c>
      <c r="N76" s="4">
        <v>0</v>
      </c>
      <c r="O76" s="5">
        <f t="shared" si="8"/>
        <v>0.33333333333333331</v>
      </c>
      <c r="P76" s="4">
        <v>2207</v>
      </c>
      <c r="Q76" s="4">
        <v>2508</v>
      </c>
      <c r="R76" s="4">
        <v>1562</v>
      </c>
      <c r="S76" s="5">
        <f t="shared" si="9"/>
        <v>2092.3333333333335</v>
      </c>
      <c r="T76" s="5">
        <f t="shared" si="10"/>
        <v>21.975124310922624</v>
      </c>
      <c r="U76" s="5">
        <f t="shared" si="11"/>
        <v>71.410290007779949</v>
      </c>
      <c r="V76" s="4">
        <v>31</v>
      </c>
      <c r="W76" s="4">
        <v>-2</v>
      </c>
      <c r="X76" s="4">
        <v>43</v>
      </c>
      <c r="Y76" s="4">
        <v>-2</v>
      </c>
      <c r="Z76" s="4">
        <v>0</v>
      </c>
      <c r="AA76" s="4">
        <v>0</v>
      </c>
      <c r="AB76" s="4">
        <v>0</v>
      </c>
      <c r="AC76" s="4">
        <v>0</v>
      </c>
      <c r="AD76" s="4"/>
      <c r="AE76" s="54">
        <v>-2.4580955505371088E-4</v>
      </c>
      <c r="AF76" s="54">
        <v>-0.33289417624473572</v>
      </c>
    </row>
    <row r="77" spans="1:32" x14ac:dyDescent="0.2">
      <c r="A77" s="53" t="s">
        <v>2683</v>
      </c>
      <c r="B77" s="53" t="s">
        <v>2708</v>
      </c>
      <c r="C77" s="54" t="s">
        <v>2884</v>
      </c>
      <c r="D77" s="13" t="s">
        <v>1335</v>
      </c>
      <c r="E77" s="4" t="s">
        <v>1337</v>
      </c>
      <c r="F77" s="4" t="s">
        <v>1336</v>
      </c>
      <c r="G77" s="4" t="s">
        <v>50</v>
      </c>
      <c r="H77" s="4">
        <v>1598</v>
      </c>
      <c r="I77" s="5">
        <f t="shared" si="6"/>
        <v>1247.8048239603513</v>
      </c>
      <c r="J77" s="4">
        <v>2554</v>
      </c>
      <c r="K77" s="5">
        <f t="shared" si="7"/>
        <v>1378.8315347517914</v>
      </c>
      <c r="L77" s="5">
        <v>1</v>
      </c>
      <c r="M77" s="5">
        <v>0</v>
      </c>
      <c r="N77" s="4">
        <v>0</v>
      </c>
      <c r="O77" s="5">
        <f t="shared" si="8"/>
        <v>0.33333333333333331</v>
      </c>
      <c r="P77" s="4">
        <v>137</v>
      </c>
      <c r="Q77" s="4">
        <v>107</v>
      </c>
      <c r="R77" s="4">
        <v>68</v>
      </c>
      <c r="S77" s="5">
        <f t="shared" si="9"/>
        <v>104</v>
      </c>
      <c r="T77" s="5">
        <f t="shared" si="10"/>
        <v>1.1050057735596666</v>
      </c>
      <c r="U77" s="5">
        <f t="shared" si="11"/>
        <v>70.587866476688831</v>
      </c>
      <c r="V77" s="4" t="s">
        <v>21</v>
      </c>
      <c r="W77" s="4" t="s">
        <v>21</v>
      </c>
      <c r="X77" s="4" t="s">
        <v>21</v>
      </c>
      <c r="Y77" s="4" t="s">
        <v>21</v>
      </c>
      <c r="Z77" s="10">
        <v>0</v>
      </c>
      <c r="AA77" s="10">
        <v>0</v>
      </c>
      <c r="AB77" s="10">
        <v>0</v>
      </c>
      <c r="AC77" s="10">
        <v>0</v>
      </c>
      <c r="AD77" s="4"/>
      <c r="AE77" s="54">
        <v>1.926422119140625E-3</v>
      </c>
      <c r="AF77" s="54">
        <v>0.86556082963943481</v>
      </c>
    </row>
    <row r="78" spans="1:32" x14ac:dyDescent="0.2">
      <c r="A78" s="53" t="s">
        <v>2683</v>
      </c>
      <c r="B78" s="53" t="s">
        <v>2729</v>
      </c>
      <c r="C78" s="54" t="s">
        <v>2958</v>
      </c>
      <c r="D78" s="13" t="s">
        <v>1378</v>
      </c>
      <c r="E78" s="4" t="s">
        <v>1380</v>
      </c>
      <c r="F78" s="4" t="s">
        <v>1379</v>
      </c>
      <c r="G78" s="17" t="s">
        <v>168</v>
      </c>
      <c r="H78" s="4">
        <v>1527</v>
      </c>
      <c r="I78" s="5">
        <f t="shared" si="6"/>
        <v>1192.3641840972818</v>
      </c>
      <c r="J78" s="4">
        <v>3714</v>
      </c>
      <c r="K78" s="5">
        <f t="shared" si="7"/>
        <v>2005.0823492827537</v>
      </c>
      <c r="L78" s="5">
        <v>0</v>
      </c>
      <c r="M78" s="5">
        <v>0</v>
      </c>
      <c r="N78" s="4">
        <v>0</v>
      </c>
      <c r="O78" s="5">
        <f t="shared" si="8"/>
        <v>0</v>
      </c>
      <c r="P78" s="4">
        <v>73</v>
      </c>
      <c r="Q78" s="4">
        <v>96</v>
      </c>
      <c r="R78" s="4">
        <v>169</v>
      </c>
      <c r="S78" s="5">
        <f t="shared" si="9"/>
        <v>112.66666666666667</v>
      </c>
      <c r="T78" s="5">
        <f t="shared" si="10"/>
        <v>1.6816022956952257</v>
      </c>
      <c r="U78" s="5">
        <f t="shared" si="11"/>
        <v>66.999591374895715</v>
      </c>
      <c r="V78" s="4">
        <v>-21</v>
      </c>
      <c r="W78" s="4">
        <v>26</v>
      </c>
      <c r="X78" s="4">
        <v>-23</v>
      </c>
      <c r="Y78" s="4">
        <v>-2</v>
      </c>
      <c r="Z78" s="4">
        <v>0</v>
      </c>
      <c r="AA78" s="4">
        <v>0</v>
      </c>
      <c r="AB78" s="4">
        <v>0</v>
      </c>
      <c r="AC78" s="4">
        <v>0</v>
      </c>
      <c r="AD78" s="4"/>
      <c r="AE78" s="54">
        <v>-4.062652587890625E-4</v>
      </c>
      <c r="AF78" s="54">
        <v>-0.43125671148300171</v>
      </c>
    </row>
    <row r="79" spans="1:32" x14ac:dyDescent="0.2">
      <c r="A79" s="53" t="s">
        <v>2683</v>
      </c>
      <c r="B79" s="53" t="s">
        <v>2746</v>
      </c>
      <c r="C79" s="54" t="s">
        <v>2939</v>
      </c>
      <c r="D79" s="13" t="s">
        <v>1552</v>
      </c>
      <c r="E79" s="4" t="s">
        <v>1554</v>
      </c>
      <c r="F79" s="4" t="s">
        <v>1553</v>
      </c>
      <c r="G79" s="4" t="s">
        <v>46</v>
      </c>
      <c r="H79" s="4">
        <v>1671</v>
      </c>
      <c r="I79" s="5">
        <f t="shared" si="6"/>
        <v>1304.8071719885777</v>
      </c>
      <c r="J79" s="4">
        <v>3957</v>
      </c>
      <c r="K79" s="5">
        <f t="shared" si="7"/>
        <v>2136.2710974991537</v>
      </c>
      <c r="L79" s="5">
        <v>0</v>
      </c>
      <c r="M79" s="5">
        <v>0</v>
      </c>
      <c r="N79" s="4">
        <v>0</v>
      </c>
      <c r="O79" s="5">
        <f t="shared" si="8"/>
        <v>0</v>
      </c>
      <c r="P79" s="4">
        <v>145</v>
      </c>
      <c r="Q79" s="4">
        <v>102</v>
      </c>
      <c r="R79" s="4">
        <v>71</v>
      </c>
      <c r="S79" s="5">
        <f t="shared" si="9"/>
        <v>106</v>
      </c>
      <c r="T79" s="5">
        <f t="shared" si="10"/>
        <v>1.6372312655542751</v>
      </c>
      <c r="U79" s="5">
        <f t="shared" si="11"/>
        <v>64.743449645835042</v>
      </c>
      <c r="V79" s="4">
        <v>-30</v>
      </c>
      <c r="W79" s="4">
        <v>49</v>
      </c>
      <c r="X79" s="4">
        <v>8</v>
      </c>
      <c r="Y79" s="4">
        <v>7</v>
      </c>
      <c r="Z79" s="4">
        <v>0</v>
      </c>
      <c r="AA79" s="4">
        <v>0</v>
      </c>
      <c r="AB79" s="4">
        <v>0</v>
      </c>
      <c r="AC79" s="4">
        <v>0</v>
      </c>
      <c r="AD79" s="4"/>
      <c r="AE79" s="54">
        <v>-1.430511474609375E-5</v>
      </c>
      <c r="AF79" s="54">
        <v>-6.91056028008461E-2</v>
      </c>
    </row>
    <row r="80" spans="1:32" x14ac:dyDescent="0.2">
      <c r="A80" s="53" t="s">
        <v>2787</v>
      </c>
      <c r="B80" s="53" t="s">
        <v>2807</v>
      </c>
      <c r="C80" s="54" t="s">
        <v>3496</v>
      </c>
      <c r="D80" s="13" t="s">
        <v>1853</v>
      </c>
      <c r="E80" s="4" t="s">
        <v>1855</v>
      </c>
      <c r="F80" s="4" t="s">
        <v>1854</v>
      </c>
      <c r="G80" s="4" t="s">
        <v>132</v>
      </c>
      <c r="H80" s="4">
        <v>289</v>
      </c>
      <c r="I80" s="5">
        <f t="shared" si="6"/>
        <v>225.66682986516992</v>
      </c>
      <c r="J80" s="4">
        <v>3724</v>
      </c>
      <c r="K80" s="5">
        <f t="shared" si="7"/>
        <v>2010.4810632011242</v>
      </c>
      <c r="L80" s="5">
        <v>0</v>
      </c>
      <c r="M80" s="5">
        <v>0</v>
      </c>
      <c r="N80" s="4">
        <v>0</v>
      </c>
      <c r="O80" s="5">
        <f t="shared" si="8"/>
        <v>0</v>
      </c>
      <c r="P80" s="4">
        <v>586</v>
      </c>
      <c r="Q80" s="4">
        <v>682</v>
      </c>
      <c r="R80" s="4">
        <v>394</v>
      </c>
      <c r="S80" s="5">
        <f t="shared" si="9"/>
        <v>554</v>
      </c>
      <c r="T80" s="5">
        <f t="shared" si="10"/>
        <v>8.9090676924133447</v>
      </c>
      <c r="U80" s="5">
        <f t="shared" si="11"/>
        <v>62.183835517578039</v>
      </c>
      <c r="V80" s="4" t="s">
        <v>21</v>
      </c>
      <c r="W80" s="4" t="s">
        <v>21</v>
      </c>
      <c r="X80" s="4" t="s">
        <v>21</v>
      </c>
      <c r="Y80" s="4" t="s">
        <v>21</v>
      </c>
      <c r="Z80" s="4">
        <v>0</v>
      </c>
      <c r="AA80" s="4">
        <v>0</v>
      </c>
      <c r="AB80" s="4">
        <v>0</v>
      </c>
      <c r="AC80" s="4">
        <v>0</v>
      </c>
      <c r="AD80" s="4"/>
      <c r="AE80" s="54">
        <v>6.2844157218933105E-4</v>
      </c>
      <c r="AF80" s="54">
        <v>0.59192442893981934</v>
      </c>
    </row>
    <row r="81" spans="1:32" x14ac:dyDescent="0.2">
      <c r="A81" s="53" t="s">
        <v>2178</v>
      </c>
      <c r="B81" s="53" t="s">
        <v>2179</v>
      </c>
      <c r="C81" s="54" t="s">
        <v>3059</v>
      </c>
      <c r="D81" s="13" t="s">
        <v>286</v>
      </c>
      <c r="E81" s="4" t="s">
        <v>288</v>
      </c>
      <c r="F81" s="4" t="s">
        <v>287</v>
      </c>
      <c r="G81" s="12" t="s">
        <v>22</v>
      </c>
      <c r="H81" s="4">
        <v>968</v>
      </c>
      <c r="I81" s="5">
        <f t="shared" si="6"/>
        <v>755.86675193593248</v>
      </c>
      <c r="J81" s="4">
        <v>2804</v>
      </c>
      <c r="K81" s="5">
        <f t="shared" si="7"/>
        <v>1513.7993827110504</v>
      </c>
      <c r="L81" s="5">
        <v>0</v>
      </c>
      <c r="M81" s="5">
        <v>0</v>
      </c>
      <c r="N81" s="4">
        <v>0</v>
      </c>
      <c r="O81" s="5">
        <f t="shared" si="8"/>
        <v>0</v>
      </c>
      <c r="P81" s="4">
        <v>106</v>
      </c>
      <c r="Q81" s="4">
        <v>141</v>
      </c>
      <c r="R81" s="4">
        <v>86</v>
      </c>
      <c r="S81" s="5">
        <f t="shared" si="9"/>
        <v>111</v>
      </c>
      <c r="T81" s="5">
        <f t="shared" si="10"/>
        <v>2.0027331256916572</v>
      </c>
      <c r="U81" s="5">
        <f t="shared" si="11"/>
        <v>55.424259266528793</v>
      </c>
      <c r="V81" s="4">
        <v>-17</v>
      </c>
      <c r="W81" s="4">
        <v>-21</v>
      </c>
      <c r="X81" s="4">
        <v>-21</v>
      </c>
      <c r="Y81" s="4">
        <v>45</v>
      </c>
      <c r="Z81" s="4">
        <v>0</v>
      </c>
      <c r="AA81" s="4">
        <v>0</v>
      </c>
      <c r="AB81" s="4">
        <v>0</v>
      </c>
      <c r="AC81" s="4">
        <v>0</v>
      </c>
      <c r="AD81" s="4"/>
      <c r="AE81" s="54">
        <v>-5.8305263519287109E-4</v>
      </c>
      <c r="AF81" s="54">
        <v>-0.56898140907287598</v>
      </c>
    </row>
    <row r="82" spans="1:32" x14ac:dyDescent="0.2">
      <c r="A82" s="53" t="s">
        <v>2188</v>
      </c>
      <c r="B82" s="53" t="s">
        <v>2194</v>
      </c>
      <c r="C82" s="54" t="s">
        <v>3030</v>
      </c>
      <c r="D82" s="20" t="s">
        <v>329</v>
      </c>
      <c r="E82" s="9" t="s">
        <v>331</v>
      </c>
      <c r="F82" s="4" t="s">
        <v>330</v>
      </c>
      <c r="G82" s="12" t="s">
        <v>22</v>
      </c>
      <c r="H82" s="4">
        <v>493</v>
      </c>
      <c r="I82" s="5">
        <f t="shared" si="6"/>
        <v>384.96106271117219</v>
      </c>
      <c r="J82" s="4">
        <v>1813</v>
      </c>
      <c r="K82" s="5">
        <f t="shared" si="7"/>
        <v>978.78683340054727</v>
      </c>
      <c r="L82" s="5">
        <v>0</v>
      </c>
      <c r="M82" s="5">
        <v>2</v>
      </c>
      <c r="N82" s="4">
        <v>0</v>
      </c>
      <c r="O82" s="5">
        <f t="shared" si="8"/>
        <v>0.66666666666666663</v>
      </c>
      <c r="P82" s="4">
        <v>195</v>
      </c>
      <c r="Q82" s="4">
        <v>330</v>
      </c>
      <c r="R82" s="4">
        <v>175</v>
      </c>
      <c r="S82" s="5">
        <f t="shared" si="9"/>
        <v>233.33333333333334</v>
      </c>
      <c r="T82" s="5">
        <f t="shared" si="10"/>
        <v>2.5425606073176015</v>
      </c>
      <c r="U82" s="5">
        <f t="shared" si="11"/>
        <v>55.062600905981888</v>
      </c>
      <c r="V82" s="4">
        <v>-14</v>
      </c>
      <c r="W82" s="4">
        <v>29</v>
      </c>
      <c r="X82" s="4">
        <v>31</v>
      </c>
      <c r="Y82" s="4">
        <v>-44</v>
      </c>
      <c r="Z82" s="4">
        <v>0</v>
      </c>
      <c r="AA82" s="4">
        <v>0</v>
      </c>
      <c r="AB82" s="4">
        <v>0</v>
      </c>
      <c r="AC82" s="4">
        <v>0</v>
      </c>
      <c r="AD82" s="4"/>
      <c r="AE82" s="54">
        <v>1.282691955566406E-4</v>
      </c>
      <c r="AF82" s="54">
        <v>0.31222391128540039</v>
      </c>
    </row>
    <row r="83" spans="1:32" x14ac:dyDescent="0.2">
      <c r="A83" s="53" t="s">
        <v>2787</v>
      </c>
      <c r="B83" s="53" t="s">
        <v>2842</v>
      </c>
      <c r="C83" s="54" t="s">
        <v>3484</v>
      </c>
      <c r="D83" s="13" t="s">
        <v>2047</v>
      </c>
      <c r="E83" s="4" t="s">
        <v>2049</v>
      </c>
      <c r="F83" s="4" t="s">
        <v>2048</v>
      </c>
      <c r="G83" s="4" t="s">
        <v>2050</v>
      </c>
      <c r="H83" s="4">
        <v>590</v>
      </c>
      <c r="I83" s="5">
        <f t="shared" si="6"/>
        <v>460.70390872128121</v>
      </c>
      <c r="J83" s="4">
        <v>3094</v>
      </c>
      <c r="K83" s="5">
        <f t="shared" si="7"/>
        <v>1670.3620863437911</v>
      </c>
      <c r="L83" s="5">
        <v>0</v>
      </c>
      <c r="M83" s="5">
        <v>0</v>
      </c>
      <c r="N83" s="4">
        <v>0</v>
      </c>
      <c r="O83" s="5">
        <f t="shared" si="8"/>
        <v>0</v>
      </c>
      <c r="P83" s="4">
        <v>225</v>
      </c>
      <c r="Q83" s="4">
        <v>241</v>
      </c>
      <c r="R83" s="4">
        <v>99</v>
      </c>
      <c r="S83" s="5">
        <f t="shared" si="9"/>
        <v>188.33333333333334</v>
      </c>
      <c r="T83" s="5">
        <f t="shared" si="10"/>
        <v>3.6256737890069313</v>
      </c>
      <c r="U83" s="5">
        <f t="shared" si="11"/>
        <v>51.944367941859895</v>
      </c>
      <c r="V83" s="4">
        <v>-39</v>
      </c>
      <c r="W83" s="4">
        <v>0</v>
      </c>
      <c r="X83" s="4">
        <v>9</v>
      </c>
      <c r="Y83" s="4">
        <v>-23</v>
      </c>
      <c r="Z83" s="4">
        <v>0</v>
      </c>
      <c r="AA83" s="4">
        <v>0</v>
      </c>
      <c r="AB83" s="4">
        <v>0</v>
      </c>
      <c r="AC83" s="4">
        <v>0</v>
      </c>
      <c r="AD83" s="4"/>
      <c r="AE83" s="54">
        <v>3.6078691482543951E-4</v>
      </c>
      <c r="AF83" s="54">
        <v>0.4680601954460144</v>
      </c>
    </row>
    <row r="84" spans="1:32" x14ac:dyDescent="0.2">
      <c r="A84" s="53" t="s">
        <v>2549</v>
      </c>
      <c r="B84" s="53" t="s">
        <v>2551</v>
      </c>
      <c r="C84" s="54" t="s">
        <v>3091</v>
      </c>
      <c r="D84" s="13" t="s">
        <v>1344</v>
      </c>
      <c r="E84" s="4" t="s">
        <v>1346</v>
      </c>
      <c r="F84" s="4" t="s">
        <v>1345</v>
      </c>
      <c r="G84" s="4" t="s">
        <v>1328</v>
      </c>
      <c r="H84" s="4">
        <v>4240</v>
      </c>
      <c r="I84" s="5">
        <f t="shared" si="6"/>
        <v>3310.8213101325969</v>
      </c>
      <c r="J84" s="4">
        <v>5196</v>
      </c>
      <c r="K84" s="5">
        <f t="shared" si="7"/>
        <v>2805.1717519852423</v>
      </c>
      <c r="L84" s="5">
        <v>0</v>
      </c>
      <c r="M84" s="5">
        <v>0</v>
      </c>
      <c r="N84" s="5">
        <v>0</v>
      </c>
      <c r="O84" s="5">
        <f t="shared" si="8"/>
        <v>0</v>
      </c>
      <c r="P84" s="4">
        <v>39</v>
      </c>
      <c r="Q84" s="4">
        <v>64</v>
      </c>
      <c r="R84" s="4">
        <v>27</v>
      </c>
      <c r="S84" s="5">
        <f t="shared" si="9"/>
        <v>43.333333333333336</v>
      </c>
      <c r="T84" s="5">
        <f t="shared" si="10"/>
        <v>0.84727367901135575</v>
      </c>
      <c r="U84" s="5">
        <f t="shared" si="11"/>
        <v>51.144434681243709</v>
      </c>
      <c r="V84" s="4">
        <v>-34</v>
      </c>
      <c r="W84" s="4">
        <v>1</v>
      </c>
      <c r="X84" s="4">
        <v>-17</v>
      </c>
      <c r="Y84" s="4">
        <v>1</v>
      </c>
      <c r="Z84" s="10">
        <v>0</v>
      </c>
      <c r="AA84" s="10">
        <v>0</v>
      </c>
      <c r="AB84" s="10">
        <v>0</v>
      </c>
      <c r="AC84" s="10">
        <v>0</v>
      </c>
      <c r="AD84" s="4"/>
      <c r="AE84" s="54">
        <v>7.7253580093383789E-4</v>
      </c>
      <c r="AF84" s="54">
        <v>0.60670804977416992</v>
      </c>
    </row>
    <row r="85" spans="1:32" x14ac:dyDescent="0.2">
      <c r="A85" s="53" t="s">
        <v>2787</v>
      </c>
      <c r="B85" s="53" t="s">
        <v>2803</v>
      </c>
      <c r="C85" s="54" t="s">
        <v>3482</v>
      </c>
      <c r="D85" s="13" t="s">
        <v>1409</v>
      </c>
      <c r="E85" s="4" t="s">
        <v>1411</v>
      </c>
      <c r="F85" s="4" t="s">
        <v>1410</v>
      </c>
      <c r="G85" s="4" t="s">
        <v>132</v>
      </c>
      <c r="H85" s="4">
        <v>2081</v>
      </c>
      <c r="I85" s="5">
        <f t="shared" si="6"/>
        <v>1624.9573458457392</v>
      </c>
      <c r="J85" s="4">
        <v>3091</v>
      </c>
      <c r="K85" s="5">
        <f t="shared" si="7"/>
        <v>1668.7424721682801</v>
      </c>
      <c r="L85" s="5">
        <v>0</v>
      </c>
      <c r="M85" s="5">
        <v>0</v>
      </c>
      <c r="N85" s="5">
        <v>0</v>
      </c>
      <c r="O85" s="5">
        <f t="shared" si="8"/>
        <v>0</v>
      </c>
      <c r="P85" s="4">
        <v>62</v>
      </c>
      <c r="Q85" s="4">
        <v>70</v>
      </c>
      <c r="R85" s="4">
        <v>22</v>
      </c>
      <c r="S85" s="5">
        <f t="shared" si="9"/>
        <v>51.333333333333336</v>
      </c>
      <c r="T85" s="5">
        <f t="shared" si="10"/>
        <v>1.0269454004035732</v>
      </c>
      <c r="U85" s="5">
        <f t="shared" si="11"/>
        <v>49.986428989467356</v>
      </c>
      <c r="V85" s="4">
        <v>-46</v>
      </c>
      <c r="W85" s="4">
        <v>-23</v>
      </c>
      <c r="X85" s="4">
        <v>-46</v>
      </c>
      <c r="Y85" s="4">
        <v>2</v>
      </c>
      <c r="Z85" s="4">
        <v>0</v>
      </c>
      <c r="AA85" s="4">
        <v>0</v>
      </c>
      <c r="AB85" s="4">
        <v>0</v>
      </c>
      <c r="AC85" s="4">
        <v>0</v>
      </c>
      <c r="AD85" s="4"/>
      <c r="AE85" s="54">
        <v>-1.585483551025391E-5</v>
      </c>
      <c r="AF85" s="54">
        <v>-0.12621910870075231</v>
      </c>
    </row>
    <row r="86" spans="1:32" x14ac:dyDescent="0.2">
      <c r="A86" s="53" t="s">
        <v>2683</v>
      </c>
      <c r="B86" s="53" t="s">
        <v>2751</v>
      </c>
      <c r="C86" s="54" t="s">
        <v>2982</v>
      </c>
      <c r="D86" s="13" t="s">
        <v>1607</v>
      </c>
      <c r="E86" s="4" t="s">
        <v>1609</v>
      </c>
      <c r="F86" s="4" t="s">
        <v>1608</v>
      </c>
      <c r="G86" s="4" t="s">
        <v>46</v>
      </c>
      <c r="H86" s="4">
        <v>1039</v>
      </c>
      <c r="I86" s="5">
        <f t="shared" si="6"/>
        <v>811.30739179900195</v>
      </c>
      <c r="J86" s="4">
        <v>3320</v>
      </c>
      <c r="K86" s="5">
        <f t="shared" si="7"/>
        <v>1792.3730208989614</v>
      </c>
      <c r="L86" s="5">
        <v>0</v>
      </c>
      <c r="M86" s="5">
        <v>1</v>
      </c>
      <c r="N86" s="4">
        <v>0</v>
      </c>
      <c r="O86" s="5">
        <f t="shared" si="8"/>
        <v>0.33333333333333331</v>
      </c>
      <c r="P86" s="4">
        <v>175</v>
      </c>
      <c r="Q86" s="4">
        <v>149</v>
      </c>
      <c r="R86" s="4">
        <v>109</v>
      </c>
      <c r="S86" s="5">
        <f t="shared" si="9"/>
        <v>144.33333333333334</v>
      </c>
      <c r="T86" s="5">
        <f t="shared" si="10"/>
        <v>2.2092403434468082</v>
      </c>
      <c r="U86" s="5">
        <f t="shared" si="11"/>
        <v>48.998743084290567</v>
      </c>
      <c r="V86" s="4">
        <v>-30</v>
      </c>
      <c r="W86" s="4">
        <v>-25</v>
      </c>
      <c r="X86" s="4">
        <v>45</v>
      </c>
      <c r="Y86" s="4">
        <v>10</v>
      </c>
      <c r="Z86" s="4">
        <v>0</v>
      </c>
      <c r="AA86" s="4">
        <v>0</v>
      </c>
      <c r="AB86" s="4">
        <v>0</v>
      </c>
      <c r="AC86" s="4">
        <v>0</v>
      </c>
      <c r="AD86" s="4"/>
      <c r="AE86" s="54">
        <v>-1.5394687652587891E-3</v>
      </c>
      <c r="AF86" s="54">
        <v>-0.80721759796142578</v>
      </c>
    </row>
    <row r="87" spans="1:32" x14ac:dyDescent="0.2">
      <c r="A87" s="53" t="s">
        <v>2683</v>
      </c>
      <c r="B87" s="53" t="s">
        <v>2706</v>
      </c>
      <c r="C87" s="54" t="s">
        <v>2887</v>
      </c>
      <c r="D87" s="13" t="s">
        <v>1329</v>
      </c>
      <c r="E87" s="4" t="s">
        <v>1331</v>
      </c>
      <c r="F87" s="4" t="s">
        <v>1330</v>
      </c>
      <c r="G87" s="4" t="s">
        <v>34</v>
      </c>
      <c r="H87" s="4">
        <v>478</v>
      </c>
      <c r="I87" s="5">
        <f t="shared" si="6"/>
        <v>373.24825147249555</v>
      </c>
      <c r="J87" s="4">
        <v>5141</v>
      </c>
      <c r="K87" s="5">
        <f t="shared" si="7"/>
        <v>2775.4788254342052</v>
      </c>
      <c r="L87" s="5">
        <v>0</v>
      </c>
      <c r="M87" s="5">
        <v>0</v>
      </c>
      <c r="N87" s="4">
        <v>0</v>
      </c>
      <c r="O87" s="5">
        <f t="shared" si="8"/>
        <v>0</v>
      </c>
      <c r="P87" s="4">
        <v>340</v>
      </c>
      <c r="Q87" s="4">
        <v>488</v>
      </c>
      <c r="R87" s="4">
        <v>168</v>
      </c>
      <c r="S87" s="5">
        <f t="shared" si="9"/>
        <v>332</v>
      </c>
      <c r="T87" s="5">
        <f t="shared" si="10"/>
        <v>7.4360129337102299</v>
      </c>
      <c r="U87" s="5">
        <f t="shared" si="11"/>
        <v>44.64758237508164</v>
      </c>
      <c r="V87" s="4">
        <v>-35</v>
      </c>
      <c r="W87" s="4">
        <v>-49</v>
      </c>
      <c r="X87" s="4">
        <v>-37</v>
      </c>
      <c r="Y87" s="4">
        <v>1</v>
      </c>
      <c r="Z87" s="4">
        <v>0</v>
      </c>
      <c r="AA87" s="4">
        <v>0</v>
      </c>
      <c r="AB87" s="4">
        <v>0</v>
      </c>
      <c r="AC87" s="4">
        <v>0</v>
      </c>
      <c r="AD87" s="4"/>
      <c r="AE87" s="54">
        <v>-2.1767616271972661E-3</v>
      </c>
      <c r="AF87" s="54">
        <v>-0.88937473297119141</v>
      </c>
    </row>
    <row r="88" spans="1:32" x14ac:dyDescent="0.2">
      <c r="A88" s="53" t="s">
        <v>2538</v>
      </c>
      <c r="B88" s="53" t="s">
        <v>2537</v>
      </c>
      <c r="C88" s="54" t="s">
        <v>2880</v>
      </c>
      <c r="D88" s="13" t="s">
        <v>715</v>
      </c>
      <c r="E88" s="4" t="s">
        <v>717</v>
      </c>
      <c r="F88" s="4" t="s">
        <v>716</v>
      </c>
      <c r="G88" s="4" t="s">
        <v>345</v>
      </c>
      <c r="H88" s="4">
        <v>207</v>
      </c>
      <c r="I88" s="5">
        <f t="shared" si="6"/>
        <v>161.63679509373762</v>
      </c>
      <c r="J88" s="4">
        <v>2444</v>
      </c>
      <c r="K88" s="5">
        <f t="shared" si="7"/>
        <v>1319.4456816497175</v>
      </c>
      <c r="L88" s="5">
        <v>0</v>
      </c>
      <c r="M88" s="5">
        <v>0</v>
      </c>
      <c r="N88" s="4">
        <v>0</v>
      </c>
      <c r="O88" s="5">
        <f t="shared" si="8"/>
        <v>0</v>
      </c>
      <c r="P88" s="4">
        <v>369</v>
      </c>
      <c r="Q88" s="4">
        <v>451</v>
      </c>
      <c r="R88" s="4">
        <v>195</v>
      </c>
      <c r="S88" s="5">
        <f t="shared" si="9"/>
        <v>338.33333333333331</v>
      </c>
      <c r="T88" s="5">
        <f t="shared" si="10"/>
        <v>8.1630279843431364</v>
      </c>
      <c r="U88" s="5">
        <f t="shared" si="11"/>
        <v>41.447038278230082</v>
      </c>
      <c r="V88" s="4">
        <v>-31</v>
      </c>
      <c r="W88" s="4">
        <v>32</v>
      </c>
      <c r="X88" s="4">
        <v>48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/>
      <c r="AE88" s="54">
        <v>-3.2269954681396479E-4</v>
      </c>
      <c r="AF88" s="54">
        <v>-0.44060030579566961</v>
      </c>
    </row>
    <row r="89" spans="1:32" x14ac:dyDescent="0.2">
      <c r="A89" s="53" t="s">
        <v>2130</v>
      </c>
      <c r="B89" s="53" t="s">
        <v>2137</v>
      </c>
      <c r="C89" s="54" t="s">
        <v>3148</v>
      </c>
      <c r="D89" s="20" t="s">
        <v>243</v>
      </c>
      <c r="E89" s="9" t="s">
        <v>245</v>
      </c>
      <c r="F89" s="4" t="s">
        <v>244</v>
      </c>
      <c r="G89" s="10" t="s">
        <v>27</v>
      </c>
      <c r="H89" s="4">
        <v>623</v>
      </c>
      <c r="I89" s="5">
        <f t="shared" si="6"/>
        <v>486.4720934463698</v>
      </c>
      <c r="J89" s="4">
        <v>3390</v>
      </c>
      <c r="K89" s="5">
        <f t="shared" si="7"/>
        <v>1830.164018327554</v>
      </c>
      <c r="L89" s="5">
        <v>0</v>
      </c>
      <c r="M89" s="5">
        <v>0</v>
      </c>
      <c r="N89" s="4">
        <v>0</v>
      </c>
      <c r="O89" s="5">
        <f t="shared" si="8"/>
        <v>0</v>
      </c>
      <c r="P89" s="4">
        <v>201</v>
      </c>
      <c r="Q89" s="4">
        <v>179</v>
      </c>
      <c r="R89" s="4">
        <v>81</v>
      </c>
      <c r="S89" s="5">
        <f t="shared" si="9"/>
        <v>153.66666666666666</v>
      </c>
      <c r="T89" s="5">
        <f t="shared" si="10"/>
        <v>3.7621151202362175</v>
      </c>
      <c r="U89" s="5">
        <f t="shared" si="11"/>
        <v>40.845817247883197</v>
      </c>
      <c r="V89" s="4">
        <v>48</v>
      </c>
      <c r="W89" s="4">
        <v>-2</v>
      </c>
      <c r="X89" s="4">
        <v>48</v>
      </c>
      <c r="Y89" s="4">
        <v>4</v>
      </c>
      <c r="Z89" s="4">
        <v>0</v>
      </c>
      <c r="AA89" s="4">
        <v>0</v>
      </c>
      <c r="AB89" s="4">
        <v>0</v>
      </c>
      <c r="AC89" s="4">
        <v>0</v>
      </c>
      <c r="AD89" s="4"/>
      <c r="AE89" s="54">
        <v>5.8704614639282227E-4</v>
      </c>
      <c r="AF89" s="54">
        <v>0.57673150300979614</v>
      </c>
    </row>
    <row r="90" spans="1:32" x14ac:dyDescent="0.2">
      <c r="A90" s="53" t="s">
        <v>2683</v>
      </c>
      <c r="B90" s="53" t="s">
        <v>2783</v>
      </c>
      <c r="C90" s="54" t="s">
        <v>2912</v>
      </c>
      <c r="D90" s="13" t="s">
        <v>1701</v>
      </c>
      <c r="E90" s="4" t="s">
        <v>1703</v>
      </c>
      <c r="F90" s="4" t="s">
        <v>1702</v>
      </c>
      <c r="G90" s="4" t="s">
        <v>118</v>
      </c>
      <c r="H90" s="4">
        <v>291</v>
      </c>
      <c r="I90" s="5">
        <f t="shared" si="6"/>
        <v>227.2285380303268</v>
      </c>
      <c r="J90" s="4">
        <v>4423</v>
      </c>
      <c r="K90" s="5">
        <f t="shared" si="7"/>
        <v>2387.8511660952131</v>
      </c>
      <c r="L90" s="5">
        <v>0</v>
      </c>
      <c r="M90" s="5">
        <v>0</v>
      </c>
      <c r="N90" s="4">
        <v>0</v>
      </c>
      <c r="O90" s="5">
        <f t="shared" si="8"/>
        <v>0</v>
      </c>
      <c r="P90" s="4">
        <v>437</v>
      </c>
      <c r="Q90" s="4">
        <v>459</v>
      </c>
      <c r="R90" s="4">
        <v>384</v>
      </c>
      <c r="S90" s="5">
        <f t="shared" si="9"/>
        <v>426.66666666666669</v>
      </c>
      <c r="T90" s="5">
        <f t="shared" si="10"/>
        <v>10.5085883436724</v>
      </c>
      <c r="U90" s="5">
        <f t="shared" si="11"/>
        <v>40.601710973251521</v>
      </c>
      <c r="V90" s="4">
        <v>-368</v>
      </c>
      <c r="W90" s="4" t="s">
        <v>21</v>
      </c>
      <c r="X90" s="4" t="s">
        <v>21</v>
      </c>
      <c r="Y90" s="4">
        <v>-470</v>
      </c>
      <c r="Z90" s="4">
        <v>0</v>
      </c>
      <c r="AA90" s="4">
        <v>0</v>
      </c>
      <c r="AB90" s="4">
        <v>0</v>
      </c>
      <c r="AC90" s="4">
        <v>0</v>
      </c>
      <c r="AD90" s="4"/>
      <c r="AE90" s="54">
        <v>1.2950897216796879E-3</v>
      </c>
      <c r="AF90" s="54">
        <v>0.7631148099899292</v>
      </c>
    </row>
    <row r="91" spans="1:32" x14ac:dyDescent="0.2">
      <c r="A91" s="53" t="s">
        <v>2683</v>
      </c>
      <c r="B91" s="53" t="s">
        <v>2693</v>
      </c>
      <c r="C91" s="54" t="s">
        <v>2902</v>
      </c>
      <c r="D91" s="16" t="s">
        <v>1322</v>
      </c>
      <c r="E91" s="4" t="s">
        <v>1324</v>
      </c>
      <c r="F91" s="4" t="s">
        <v>1323</v>
      </c>
      <c r="G91" s="9" t="s">
        <v>34</v>
      </c>
      <c r="H91" s="4">
        <v>202</v>
      </c>
      <c r="I91" s="5">
        <f t="shared" si="6"/>
        <v>157.73252468084542</v>
      </c>
      <c r="J91" s="4">
        <v>1507</v>
      </c>
      <c r="K91" s="5">
        <f t="shared" si="7"/>
        <v>813.58618749841412</v>
      </c>
      <c r="L91" s="5">
        <v>0</v>
      </c>
      <c r="M91" s="5">
        <v>0</v>
      </c>
      <c r="N91" s="4">
        <v>0</v>
      </c>
      <c r="O91" s="5">
        <f t="shared" si="8"/>
        <v>0</v>
      </c>
      <c r="P91" s="4">
        <v>229</v>
      </c>
      <c r="Q91" s="4">
        <v>298</v>
      </c>
      <c r="R91" s="4">
        <v>99</v>
      </c>
      <c r="S91" s="5">
        <f t="shared" si="9"/>
        <v>208.66666666666666</v>
      </c>
      <c r="T91" s="5">
        <f t="shared" si="10"/>
        <v>5.1580115714537449</v>
      </c>
      <c r="U91" s="5">
        <f t="shared" si="11"/>
        <v>40.454865945144746</v>
      </c>
      <c r="V91" s="4">
        <v>50</v>
      </c>
      <c r="W91" s="4">
        <v>-1</v>
      </c>
      <c r="X91" s="4">
        <v>42</v>
      </c>
      <c r="Y91" s="4">
        <v>9</v>
      </c>
      <c r="Z91" s="4">
        <v>0</v>
      </c>
      <c r="AA91" s="4">
        <v>0</v>
      </c>
      <c r="AB91" s="4">
        <v>0</v>
      </c>
      <c r="AC91" s="4">
        <v>0</v>
      </c>
      <c r="AD91" s="4"/>
      <c r="AE91" s="54">
        <v>-1.136541366577148E-3</v>
      </c>
      <c r="AF91" s="54">
        <v>-0.71620386838912964</v>
      </c>
    </row>
    <row r="92" spans="1:32" x14ac:dyDescent="0.2">
      <c r="A92" s="53" t="s">
        <v>2097</v>
      </c>
      <c r="B92" s="53" t="s">
        <v>2101</v>
      </c>
      <c r="C92" s="54" t="s">
        <v>3006</v>
      </c>
      <c r="D92" s="14" t="s">
        <v>67</v>
      </c>
      <c r="E92" s="4" t="s">
        <v>69</v>
      </c>
      <c r="F92" s="4" t="s">
        <v>68</v>
      </c>
      <c r="G92" s="4" t="s">
        <v>27</v>
      </c>
      <c r="H92" s="4">
        <v>1317</v>
      </c>
      <c r="I92" s="5">
        <f t="shared" si="6"/>
        <v>1028.3848267558089</v>
      </c>
      <c r="J92" s="4">
        <v>4503</v>
      </c>
      <c r="K92" s="5">
        <f t="shared" si="7"/>
        <v>2431.0408774421753</v>
      </c>
      <c r="L92" s="5">
        <v>0</v>
      </c>
      <c r="M92" s="5">
        <v>1</v>
      </c>
      <c r="N92" s="4">
        <v>0</v>
      </c>
      <c r="O92" s="5">
        <f t="shared" si="8"/>
        <v>0.33333333333333331</v>
      </c>
      <c r="P92" s="4">
        <v>128</v>
      </c>
      <c r="Q92" s="4">
        <v>68</v>
      </c>
      <c r="R92" s="4">
        <v>153</v>
      </c>
      <c r="S92" s="5">
        <f t="shared" si="9"/>
        <v>116.33333333333333</v>
      </c>
      <c r="T92" s="5">
        <f t="shared" si="10"/>
        <v>2.3639408266176494</v>
      </c>
      <c r="U92" s="5">
        <f t="shared" si="11"/>
        <v>36.908707281323188</v>
      </c>
      <c r="V92" s="4">
        <v>-6</v>
      </c>
      <c r="W92" s="4">
        <v>22</v>
      </c>
      <c r="X92" s="4">
        <v>-6</v>
      </c>
      <c r="Y92" s="4">
        <v>22</v>
      </c>
      <c r="Z92" s="4">
        <v>0</v>
      </c>
      <c r="AA92" s="4">
        <v>0</v>
      </c>
      <c r="AB92" s="19">
        <v>0.43</v>
      </c>
      <c r="AC92" s="4">
        <v>7.0000000000000007E-2</v>
      </c>
      <c r="AD92" s="4"/>
      <c r="AE92" s="54">
        <v>-2.7501583099365229E-4</v>
      </c>
      <c r="AF92" s="54">
        <v>-0.35324940085411072</v>
      </c>
    </row>
    <row r="93" spans="1:32" x14ac:dyDescent="0.2">
      <c r="A93" s="53" t="s">
        <v>2683</v>
      </c>
      <c r="B93" s="53" t="s">
        <v>2692</v>
      </c>
      <c r="C93" s="54" t="s">
        <v>2901</v>
      </c>
      <c r="D93" s="16" t="s">
        <v>1319</v>
      </c>
      <c r="E93" s="4" t="s">
        <v>1321</v>
      </c>
      <c r="F93" s="4" t="s">
        <v>1320</v>
      </c>
      <c r="G93" s="15" t="s">
        <v>34</v>
      </c>
      <c r="H93" s="4">
        <v>578</v>
      </c>
      <c r="I93" s="5">
        <f t="shared" si="6"/>
        <v>451.33365973033983</v>
      </c>
      <c r="J93" s="4">
        <v>3651</v>
      </c>
      <c r="K93" s="5">
        <f t="shared" si="7"/>
        <v>1971.0704515970208</v>
      </c>
      <c r="L93" s="5">
        <v>0</v>
      </c>
      <c r="M93" s="5">
        <v>0</v>
      </c>
      <c r="N93" s="4">
        <v>0</v>
      </c>
      <c r="O93" s="5">
        <f t="shared" si="8"/>
        <v>0</v>
      </c>
      <c r="P93" s="4">
        <v>185</v>
      </c>
      <c r="Q93" s="4">
        <v>181</v>
      </c>
      <c r="R93" s="4">
        <v>101</v>
      </c>
      <c r="S93" s="5">
        <f t="shared" si="9"/>
        <v>155.66666666666666</v>
      </c>
      <c r="T93" s="5">
        <f t="shared" si="10"/>
        <v>4.3672134995973586</v>
      </c>
      <c r="U93" s="5">
        <f t="shared" si="11"/>
        <v>35.644391253374394</v>
      </c>
      <c r="V93" s="4">
        <v>-6</v>
      </c>
      <c r="W93" s="4">
        <v>-21</v>
      </c>
      <c r="X93" s="4">
        <v>-20</v>
      </c>
      <c r="Y93" s="4">
        <v>-21</v>
      </c>
      <c r="Z93" s="4">
        <v>0</v>
      </c>
      <c r="AA93" s="4">
        <v>0</v>
      </c>
      <c r="AB93" s="4">
        <v>0</v>
      </c>
      <c r="AC93" s="4">
        <v>0</v>
      </c>
      <c r="AD93" s="4"/>
      <c r="AE93" s="54">
        <v>2.1977424621582031E-2</v>
      </c>
      <c r="AF93" s="54">
        <v>0.99952828884124756</v>
      </c>
    </row>
    <row r="94" spans="1:32" x14ac:dyDescent="0.2">
      <c r="A94" s="53" t="s">
        <v>2598</v>
      </c>
      <c r="B94" s="53" t="s">
        <v>2597</v>
      </c>
      <c r="C94" s="54" t="s">
        <v>3054</v>
      </c>
      <c r="D94" s="13" t="s">
        <v>1243</v>
      </c>
      <c r="E94" s="4" t="s">
        <v>1245</v>
      </c>
      <c r="F94" s="4" t="s">
        <v>1244</v>
      </c>
      <c r="G94" s="4" t="s">
        <v>1436</v>
      </c>
      <c r="H94" s="4">
        <v>538</v>
      </c>
      <c r="I94" s="5">
        <f t="shared" si="6"/>
        <v>420.09949642720215</v>
      </c>
      <c r="J94" s="4">
        <v>2716</v>
      </c>
      <c r="K94" s="5">
        <f t="shared" si="7"/>
        <v>1466.2907002293912</v>
      </c>
      <c r="L94" s="5">
        <v>2</v>
      </c>
      <c r="M94" s="5">
        <v>0</v>
      </c>
      <c r="N94" s="4">
        <v>0</v>
      </c>
      <c r="O94" s="5">
        <f t="shared" si="8"/>
        <v>0.66666666666666663</v>
      </c>
      <c r="P94" s="4">
        <v>326</v>
      </c>
      <c r="Q94" s="4">
        <v>221</v>
      </c>
      <c r="R94" s="4">
        <v>75</v>
      </c>
      <c r="S94" s="5">
        <f t="shared" si="9"/>
        <v>207.33333333333334</v>
      </c>
      <c r="T94" s="5">
        <f t="shared" si="10"/>
        <v>3.4903414850521739</v>
      </c>
      <c r="U94" s="5">
        <f t="shared" si="11"/>
        <v>35.641211764739538</v>
      </c>
      <c r="V94" s="4">
        <v>-14</v>
      </c>
      <c r="W94" s="4">
        <v>10</v>
      </c>
      <c r="X94" s="4">
        <v>24</v>
      </c>
      <c r="Y94" s="4">
        <v>10</v>
      </c>
      <c r="Z94" s="4">
        <v>0</v>
      </c>
      <c r="AA94" s="4">
        <v>0</v>
      </c>
      <c r="AB94" s="4">
        <v>0</v>
      </c>
      <c r="AC94" s="4">
        <v>0</v>
      </c>
      <c r="AD94" s="4"/>
      <c r="AE94" s="54">
        <v>-2.89154052734375E-3</v>
      </c>
      <c r="AF94" s="54">
        <v>-0.94176918268203735</v>
      </c>
    </row>
    <row r="95" spans="1:32" x14ac:dyDescent="0.2">
      <c r="A95" s="53" t="s">
        <v>2683</v>
      </c>
      <c r="B95" s="53" t="s">
        <v>2709</v>
      </c>
      <c r="C95" s="54" t="s">
        <v>2885</v>
      </c>
      <c r="D95" s="14" t="s">
        <v>1338</v>
      </c>
      <c r="E95" s="4" t="s">
        <v>1340</v>
      </c>
      <c r="F95" s="4" t="s">
        <v>1339</v>
      </c>
      <c r="G95" s="4" t="s">
        <v>38</v>
      </c>
      <c r="H95" s="4">
        <v>1510</v>
      </c>
      <c r="I95" s="5">
        <f t="shared" si="6"/>
        <v>1179.0896646934484</v>
      </c>
      <c r="J95" s="4">
        <v>4788</v>
      </c>
      <c r="K95" s="5">
        <f t="shared" si="7"/>
        <v>2584.9042241157308</v>
      </c>
      <c r="L95" s="5">
        <v>1</v>
      </c>
      <c r="M95" s="5">
        <v>0</v>
      </c>
      <c r="N95" s="4">
        <v>0</v>
      </c>
      <c r="O95" s="5">
        <f t="shared" si="8"/>
        <v>0.33333333333333331</v>
      </c>
      <c r="P95" s="4">
        <v>123</v>
      </c>
      <c r="Q95" s="4">
        <v>99</v>
      </c>
      <c r="R95" s="4">
        <v>88</v>
      </c>
      <c r="S95" s="5">
        <f t="shared" si="9"/>
        <v>103.33333333333333</v>
      </c>
      <c r="T95" s="5">
        <f t="shared" si="10"/>
        <v>2.1922880859003886</v>
      </c>
      <c r="U95" s="5">
        <f t="shared" si="11"/>
        <v>35.351193348373371</v>
      </c>
      <c r="V95" s="4" t="s">
        <v>21</v>
      </c>
      <c r="W95" s="4">
        <v>70</v>
      </c>
      <c r="X95" s="4" t="s">
        <v>21</v>
      </c>
      <c r="Y95" s="4" t="s">
        <v>21</v>
      </c>
      <c r="Z95" s="10">
        <v>0</v>
      </c>
      <c r="AA95" s="10">
        <v>0</v>
      </c>
      <c r="AB95" s="10">
        <v>0</v>
      </c>
      <c r="AC95" s="10">
        <v>0</v>
      </c>
      <c r="AD95" s="4"/>
      <c r="AE95" s="54">
        <v>2.4104118347167969E-4</v>
      </c>
      <c r="AF95" s="54">
        <v>0.33289417624473572</v>
      </c>
    </row>
    <row r="96" spans="1:32" s="57" customFormat="1" x14ac:dyDescent="0.2">
      <c r="A96" s="53" t="s">
        <v>2243</v>
      </c>
      <c r="B96" s="53" t="s">
        <v>2326</v>
      </c>
      <c r="C96" s="54" t="s">
        <v>3383</v>
      </c>
      <c r="D96" s="13" t="s">
        <v>806</v>
      </c>
      <c r="E96" s="4" t="s">
        <v>808</v>
      </c>
      <c r="F96" s="4" t="s">
        <v>807</v>
      </c>
      <c r="G96" s="17" t="s">
        <v>90</v>
      </c>
      <c r="H96" s="4">
        <v>1123</v>
      </c>
      <c r="I96" s="5">
        <f t="shared" si="6"/>
        <v>876.89913473559102</v>
      </c>
      <c r="J96" s="4">
        <v>1960</v>
      </c>
      <c r="K96" s="5">
        <f t="shared" si="7"/>
        <v>1058.1479280005917</v>
      </c>
      <c r="L96" s="5">
        <v>0</v>
      </c>
      <c r="M96" s="5">
        <v>0</v>
      </c>
      <c r="N96" s="5">
        <v>0</v>
      </c>
      <c r="O96" s="5">
        <f t="shared" si="8"/>
        <v>0</v>
      </c>
      <c r="P96" s="4">
        <v>39</v>
      </c>
      <c r="Q96" s="4">
        <v>63</v>
      </c>
      <c r="R96" s="4">
        <v>24</v>
      </c>
      <c r="S96" s="5">
        <f t="shared" si="9"/>
        <v>42</v>
      </c>
      <c r="T96" s="5">
        <f t="shared" si="10"/>
        <v>1.2066928636206855</v>
      </c>
      <c r="U96" s="5">
        <f t="shared" si="11"/>
        <v>34.80587419235983</v>
      </c>
      <c r="V96" s="4">
        <v>-3</v>
      </c>
      <c r="W96" s="4">
        <v>-49</v>
      </c>
      <c r="X96" s="4">
        <v>-23</v>
      </c>
      <c r="Y96" s="4">
        <v>17</v>
      </c>
      <c r="Z96" s="4">
        <v>0</v>
      </c>
      <c r="AA96" s="4">
        <v>0</v>
      </c>
      <c r="AB96" s="4">
        <v>0</v>
      </c>
      <c r="AC96" s="4">
        <v>0</v>
      </c>
      <c r="AD96" s="4"/>
      <c r="AE96" s="54">
        <v>-4.6079158782958976E-3</v>
      </c>
      <c r="AF96" s="54">
        <v>-0.98289304971694946</v>
      </c>
    </row>
    <row r="97" spans="1:32" x14ac:dyDescent="0.2">
      <c r="A97" s="53" t="s">
        <v>2683</v>
      </c>
      <c r="B97" s="53" t="s">
        <v>2785</v>
      </c>
      <c r="C97" s="54" t="s">
        <v>2911</v>
      </c>
      <c r="D97" s="13" t="s">
        <v>1397</v>
      </c>
      <c r="E97" s="4" t="s">
        <v>1399</v>
      </c>
      <c r="F97" s="4" t="s">
        <v>1398</v>
      </c>
      <c r="G97" s="4" t="s">
        <v>107</v>
      </c>
      <c r="H97" s="4">
        <v>3306</v>
      </c>
      <c r="I97" s="5">
        <f t="shared" si="6"/>
        <v>2581.5035970043314</v>
      </c>
      <c r="J97" s="4">
        <v>1653</v>
      </c>
      <c r="K97" s="5">
        <f t="shared" si="7"/>
        <v>892.40741070662148</v>
      </c>
      <c r="L97" s="5">
        <v>1</v>
      </c>
      <c r="M97" s="5">
        <v>0</v>
      </c>
      <c r="N97" s="5">
        <v>0</v>
      </c>
      <c r="O97" s="5">
        <f t="shared" si="8"/>
        <v>0.33333333333333331</v>
      </c>
      <c r="P97" s="4">
        <v>18</v>
      </c>
      <c r="Q97" s="4">
        <v>19</v>
      </c>
      <c r="R97" s="4">
        <v>11</v>
      </c>
      <c r="S97" s="5">
        <f t="shared" si="9"/>
        <v>16</v>
      </c>
      <c r="T97" s="5">
        <f t="shared" si="10"/>
        <v>0.34569287904235452</v>
      </c>
      <c r="U97" s="5">
        <f t="shared" si="11"/>
        <v>34.712893228355313</v>
      </c>
      <c r="V97" s="4" t="s">
        <v>21</v>
      </c>
      <c r="W97" s="4">
        <v>86</v>
      </c>
      <c r="X97" s="4" t="s">
        <v>21</v>
      </c>
      <c r="Y97" s="4">
        <v>-21</v>
      </c>
      <c r="Z97" s="4">
        <v>0</v>
      </c>
      <c r="AA97" s="4">
        <v>0</v>
      </c>
      <c r="AB97" s="4">
        <v>0</v>
      </c>
      <c r="AC97" s="4">
        <v>0.02</v>
      </c>
      <c r="AD97" s="4"/>
      <c r="AE97" s="54">
        <v>5.8889389038085938E-4</v>
      </c>
      <c r="AF97" s="54">
        <v>0.53695803880691528</v>
      </c>
    </row>
    <row r="98" spans="1:32" x14ac:dyDescent="0.2">
      <c r="A98" s="53" t="s">
        <v>2787</v>
      </c>
      <c r="B98" s="53" t="s">
        <v>2798</v>
      </c>
      <c r="C98" s="54" t="s">
        <v>3491</v>
      </c>
      <c r="D98" s="13" t="s">
        <v>1406</v>
      </c>
      <c r="E98" s="4" t="s">
        <v>1408</v>
      </c>
      <c r="F98" s="4" t="s">
        <v>1407</v>
      </c>
      <c r="G98" s="4" t="s">
        <v>132</v>
      </c>
      <c r="H98" s="4">
        <v>1986</v>
      </c>
      <c r="I98" s="5">
        <f t="shared" si="6"/>
        <v>1550.7762080007872</v>
      </c>
      <c r="J98" s="4">
        <v>3106</v>
      </c>
      <c r="K98" s="5">
        <f t="shared" si="7"/>
        <v>1676.8405430458356</v>
      </c>
      <c r="L98" s="5">
        <v>0</v>
      </c>
      <c r="M98" s="5">
        <v>1</v>
      </c>
      <c r="N98" s="5">
        <v>0</v>
      </c>
      <c r="O98" s="5">
        <f t="shared" si="8"/>
        <v>0.33333333333333331</v>
      </c>
      <c r="P98" s="4">
        <v>53</v>
      </c>
      <c r="Q98" s="4">
        <v>77</v>
      </c>
      <c r="R98" s="4">
        <v>18</v>
      </c>
      <c r="S98" s="5">
        <f t="shared" si="9"/>
        <v>49.333333333333336</v>
      </c>
      <c r="T98" s="5">
        <f t="shared" si="10"/>
        <v>1.0812911201465791</v>
      </c>
      <c r="U98" s="5">
        <f t="shared" si="11"/>
        <v>34.218351848653214</v>
      </c>
      <c r="V98" s="4">
        <v>-10</v>
      </c>
      <c r="W98" s="4">
        <v>1</v>
      </c>
      <c r="X98" s="4">
        <v>31</v>
      </c>
      <c r="Y98" s="4">
        <v>-10</v>
      </c>
      <c r="Z98" s="4">
        <v>0</v>
      </c>
      <c r="AA98" s="4">
        <v>0</v>
      </c>
      <c r="AB98" s="4">
        <v>0</v>
      </c>
      <c r="AC98" s="4">
        <v>0</v>
      </c>
      <c r="AD98" s="4"/>
      <c r="AE98" s="54">
        <v>-6.0498714447021478E-5</v>
      </c>
      <c r="AF98" s="54">
        <v>-0.2267112135887146</v>
      </c>
    </row>
    <row r="99" spans="1:32" x14ac:dyDescent="0.2">
      <c r="A99" s="53" t="s">
        <v>2243</v>
      </c>
      <c r="B99" s="53" t="s">
        <v>2272</v>
      </c>
      <c r="C99" s="54" t="s">
        <v>3435</v>
      </c>
      <c r="D99" s="13" t="s">
        <v>572</v>
      </c>
      <c r="E99" s="4" t="s">
        <v>574</v>
      </c>
      <c r="F99" s="4" t="s">
        <v>573</v>
      </c>
      <c r="G99" s="4" t="s">
        <v>54</v>
      </c>
      <c r="H99" s="4">
        <v>531</v>
      </c>
      <c r="I99" s="5">
        <f t="shared" si="6"/>
        <v>414.63351784915307</v>
      </c>
      <c r="J99" s="4">
        <v>1480</v>
      </c>
      <c r="K99" s="5">
        <f t="shared" si="7"/>
        <v>799.00965991881412</v>
      </c>
      <c r="L99" s="5">
        <v>0</v>
      </c>
      <c r="M99" s="5">
        <v>0</v>
      </c>
      <c r="N99" s="5">
        <v>0</v>
      </c>
      <c r="O99" s="5">
        <f t="shared" si="8"/>
        <v>0</v>
      </c>
      <c r="P99" s="4">
        <v>50</v>
      </c>
      <c r="Q99" s="4">
        <v>56</v>
      </c>
      <c r="R99" s="4">
        <v>82</v>
      </c>
      <c r="S99" s="5">
        <f t="shared" si="9"/>
        <v>62.666666666666664</v>
      </c>
      <c r="T99" s="5">
        <f t="shared" si="10"/>
        <v>1.927026218390526</v>
      </c>
      <c r="U99" s="5">
        <f t="shared" si="11"/>
        <v>32.519882743996376</v>
      </c>
      <c r="V99" s="4">
        <v>25</v>
      </c>
      <c r="W99" s="4">
        <v>29</v>
      </c>
      <c r="X99" s="4">
        <v>-12</v>
      </c>
      <c r="Y99" s="4">
        <v>-42</v>
      </c>
      <c r="Z99" s="4">
        <v>0</v>
      </c>
      <c r="AA99" s="4">
        <v>0</v>
      </c>
      <c r="AB99" s="4">
        <v>0</v>
      </c>
      <c r="AC99" s="4">
        <v>0</v>
      </c>
      <c r="AD99" s="4"/>
      <c r="AE99" s="54">
        <v>-1.115798950195312E-4</v>
      </c>
      <c r="AF99" s="54">
        <v>-0.21573995053768161</v>
      </c>
    </row>
    <row r="100" spans="1:32" x14ac:dyDescent="0.2">
      <c r="A100" s="53" t="s">
        <v>2097</v>
      </c>
      <c r="B100" s="53" t="s">
        <v>2112</v>
      </c>
      <c r="C100" s="54" t="s">
        <v>2996</v>
      </c>
      <c r="D100" s="13" t="s">
        <v>185</v>
      </c>
      <c r="E100" s="4" t="s">
        <v>187</v>
      </c>
      <c r="F100" s="4" t="s">
        <v>186</v>
      </c>
      <c r="G100" s="4" t="s">
        <v>70</v>
      </c>
      <c r="H100" s="4">
        <v>486</v>
      </c>
      <c r="I100" s="5">
        <f t="shared" si="6"/>
        <v>379.49508413312316</v>
      </c>
      <c r="J100" s="4">
        <v>3609</v>
      </c>
      <c r="K100" s="5">
        <f t="shared" si="7"/>
        <v>1948.395853139865</v>
      </c>
      <c r="L100" s="5">
        <v>0</v>
      </c>
      <c r="M100" s="5">
        <v>0</v>
      </c>
      <c r="N100" s="4">
        <v>0</v>
      </c>
      <c r="O100" s="5">
        <f t="shared" si="8"/>
        <v>0</v>
      </c>
      <c r="P100" s="4">
        <v>181</v>
      </c>
      <c r="Q100" s="4">
        <v>193</v>
      </c>
      <c r="R100" s="4">
        <v>126</v>
      </c>
      <c r="S100" s="5">
        <f t="shared" si="9"/>
        <v>166.66666666666666</v>
      </c>
      <c r="T100" s="5">
        <f t="shared" si="10"/>
        <v>5.1341794257771909</v>
      </c>
      <c r="U100" s="5">
        <f t="shared" si="11"/>
        <v>32.462181946716314</v>
      </c>
      <c r="V100" s="4">
        <v>21</v>
      </c>
      <c r="W100" s="4">
        <v>-13</v>
      </c>
      <c r="X100" s="4">
        <v>-19</v>
      </c>
      <c r="Y100" s="4">
        <v>21</v>
      </c>
      <c r="Z100" s="4">
        <v>0</v>
      </c>
      <c r="AA100" s="4">
        <v>0.01</v>
      </c>
      <c r="AB100" s="4">
        <v>0</v>
      </c>
      <c r="AC100" s="4">
        <v>0</v>
      </c>
      <c r="AD100" s="4"/>
      <c r="AE100" s="54">
        <v>-2.1439790725708012E-3</v>
      </c>
      <c r="AF100" s="54">
        <v>-0.88445228338241577</v>
      </c>
    </row>
    <row r="101" spans="1:32" x14ac:dyDescent="0.2">
      <c r="A101" s="53" t="s">
        <v>2787</v>
      </c>
      <c r="B101" s="53" t="s">
        <v>2806</v>
      </c>
      <c r="C101" s="54" t="s">
        <v>3495</v>
      </c>
      <c r="D101" s="14" t="s">
        <v>1719</v>
      </c>
      <c r="E101" s="4" t="s">
        <v>1721</v>
      </c>
      <c r="F101" s="4" t="s">
        <v>1720</v>
      </c>
      <c r="G101" s="4" t="s">
        <v>132</v>
      </c>
      <c r="H101" s="4">
        <v>223</v>
      </c>
      <c r="I101" s="5">
        <f t="shared" si="6"/>
        <v>174.13046041499271</v>
      </c>
      <c r="J101" s="4">
        <v>4894</v>
      </c>
      <c r="K101" s="5">
        <f t="shared" si="7"/>
        <v>2642.1305916504571</v>
      </c>
      <c r="L101" s="5">
        <v>0</v>
      </c>
      <c r="M101" s="5">
        <v>0</v>
      </c>
      <c r="N101" s="4">
        <v>0</v>
      </c>
      <c r="O101" s="5">
        <f t="shared" si="8"/>
        <v>0</v>
      </c>
      <c r="P101" s="4">
        <v>450</v>
      </c>
      <c r="Q101" s="4">
        <v>512</v>
      </c>
      <c r="R101" s="4">
        <v>440</v>
      </c>
      <c r="S101" s="5">
        <f t="shared" si="9"/>
        <v>467.33333333333331</v>
      </c>
      <c r="T101" s="5">
        <f t="shared" si="10"/>
        <v>15.173282063078773</v>
      </c>
      <c r="U101" s="5">
        <f t="shared" si="11"/>
        <v>30.799752577624453</v>
      </c>
      <c r="V101" s="4" t="s">
        <v>21</v>
      </c>
      <c r="W101" s="4" t="s">
        <v>21</v>
      </c>
      <c r="X101" s="4" t="s">
        <v>21</v>
      </c>
      <c r="Y101" s="4" t="s">
        <v>21</v>
      </c>
      <c r="Z101" s="4">
        <v>0</v>
      </c>
      <c r="AA101" s="4">
        <v>0</v>
      </c>
      <c r="AB101" s="4">
        <v>0</v>
      </c>
      <c r="AC101" s="4">
        <v>0</v>
      </c>
      <c r="AD101" s="4"/>
      <c r="AE101" s="54">
        <v>-1.3142824172973629E-5</v>
      </c>
      <c r="AF101" s="54">
        <v>-0.11485084891319269</v>
      </c>
    </row>
    <row r="102" spans="1:32" x14ac:dyDescent="0.2">
      <c r="A102" s="53" t="s">
        <v>2683</v>
      </c>
      <c r="B102" s="53" t="s">
        <v>2696</v>
      </c>
      <c r="C102" s="54" t="s">
        <v>2899</v>
      </c>
      <c r="D102" s="13" t="s">
        <v>1391</v>
      </c>
      <c r="E102" s="4" t="s">
        <v>1393</v>
      </c>
      <c r="F102" s="4" t="s">
        <v>1392</v>
      </c>
      <c r="G102" s="4" t="s">
        <v>34</v>
      </c>
      <c r="H102" s="4">
        <v>1777</v>
      </c>
      <c r="I102" s="5">
        <f t="shared" si="6"/>
        <v>1387.5777047418926</v>
      </c>
      <c r="J102" s="4">
        <v>2237</v>
      </c>
      <c r="K102" s="5">
        <f t="shared" si="7"/>
        <v>1207.6923035394507</v>
      </c>
      <c r="L102" s="5">
        <v>0</v>
      </c>
      <c r="M102" s="5">
        <v>0</v>
      </c>
      <c r="N102" s="5">
        <v>0</v>
      </c>
      <c r="O102" s="5">
        <f t="shared" si="8"/>
        <v>0</v>
      </c>
      <c r="P102" s="4">
        <v>39</v>
      </c>
      <c r="Q102" s="4">
        <v>24</v>
      </c>
      <c r="R102" s="4">
        <v>15</v>
      </c>
      <c r="S102" s="5">
        <f t="shared" si="9"/>
        <v>26</v>
      </c>
      <c r="T102" s="5">
        <f t="shared" si="10"/>
        <v>0.8703601242743354</v>
      </c>
      <c r="U102" s="5">
        <f t="shared" si="11"/>
        <v>29.872692090159294</v>
      </c>
      <c r="V102" s="4">
        <v>48</v>
      </c>
      <c r="W102" s="4">
        <v>-23</v>
      </c>
      <c r="X102" s="4">
        <v>-8</v>
      </c>
      <c r="Y102" s="4">
        <v>43</v>
      </c>
      <c r="Z102" s="4">
        <v>0</v>
      </c>
      <c r="AA102" s="4">
        <v>0</v>
      </c>
      <c r="AB102" s="4">
        <v>0</v>
      </c>
      <c r="AC102" s="4">
        <v>0</v>
      </c>
      <c r="AD102" s="4"/>
      <c r="AE102" s="54">
        <v>-1.429557800292969E-3</v>
      </c>
      <c r="AF102" s="54">
        <v>-0.78616505861282349</v>
      </c>
    </row>
    <row r="103" spans="1:32" x14ac:dyDescent="0.2">
      <c r="A103" s="53" t="s">
        <v>2232</v>
      </c>
      <c r="B103" s="53" t="s">
        <v>2231</v>
      </c>
      <c r="C103" s="54" t="s">
        <v>3083</v>
      </c>
      <c r="D103" s="13" t="s">
        <v>352</v>
      </c>
      <c r="E103" s="4" t="s">
        <v>354</v>
      </c>
      <c r="F103" s="4" t="s">
        <v>353</v>
      </c>
      <c r="G103" s="22" t="s">
        <v>397</v>
      </c>
      <c r="H103" s="4">
        <v>413</v>
      </c>
      <c r="I103" s="5">
        <f t="shared" si="6"/>
        <v>322.49273610489684</v>
      </c>
      <c r="J103" s="4">
        <v>2257</v>
      </c>
      <c r="K103" s="5">
        <f t="shared" si="7"/>
        <v>1218.4897313761915</v>
      </c>
      <c r="L103" s="5">
        <v>0</v>
      </c>
      <c r="M103" s="5">
        <v>0</v>
      </c>
      <c r="N103" s="4">
        <v>0</v>
      </c>
      <c r="O103" s="5">
        <f t="shared" si="8"/>
        <v>0</v>
      </c>
      <c r="P103" s="4">
        <v>168</v>
      </c>
      <c r="Q103" s="4">
        <v>60</v>
      </c>
      <c r="R103" s="4">
        <v>103</v>
      </c>
      <c r="S103" s="5">
        <f t="shared" si="9"/>
        <v>110.33333333333333</v>
      </c>
      <c r="T103" s="5">
        <f t="shared" si="10"/>
        <v>3.778347835344281</v>
      </c>
      <c r="U103" s="5">
        <f t="shared" si="11"/>
        <v>29.201475920567226</v>
      </c>
      <c r="V103" s="4">
        <v>38</v>
      </c>
      <c r="W103" s="4">
        <v>5</v>
      </c>
      <c r="X103" s="4">
        <v>38</v>
      </c>
      <c r="Y103" s="4">
        <v>-45</v>
      </c>
      <c r="Z103" s="4">
        <v>0</v>
      </c>
      <c r="AA103" s="4">
        <v>0</v>
      </c>
      <c r="AB103" s="4">
        <v>0</v>
      </c>
      <c r="AC103" s="4">
        <v>0</v>
      </c>
      <c r="AD103" s="4"/>
      <c r="AE103" s="54">
        <v>1.574277877807617E-3</v>
      </c>
      <c r="AF103" s="54">
        <v>0.81510752439498901</v>
      </c>
    </row>
    <row r="104" spans="1:32" x14ac:dyDescent="0.2">
      <c r="A104" s="53" t="s">
        <v>2549</v>
      </c>
      <c r="B104" s="53" t="s">
        <v>2550</v>
      </c>
      <c r="C104" s="54" t="s">
        <v>3092</v>
      </c>
      <c r="D104" s="13" t="s">
        <v>1147</v>
      </c>
      <c r="E104" s="4" t="s">
        <v>1149</v>
      </c>
      <c r="F104" s="4" t="s">
        <v>1148</v>
      </c>
      <c r="G104" s="4" t="s">
        <v>42</v>
      </c>
      <c r="H104" s="4">
        <v>480</v>
      </c>
      <c r="I104" s="5">
        <f t="shared" si="6"/>
        <v>374.80995963765247</v>
      </c>
      <c r="J104" s="4">
        <v>3342</v>
      </c>
      <c r="K104" s="5">
        <f t="shared" si="7"/>
        <v>1804.2501915193761</v>
      </c>
      <c r="L104" s="5">
        <v>0</v>
      </c>
      <c r="M104" s="5">
        <v>0</v>
      </c>
      <c r="N104" s="4">
        <v>0</v>
      </c>
      <c r="O104" s="5">
        <f t="shared" si="8"/>
        <v>0</v>
      </c>
      <c r="P104" s="4">
        <v>185</v>
      </c>
      <c r="Q104" s="4">
        <v>138</v>
      </c>
      <c r="R104" s="4">
        <v>89</v>
      </c>
      <c r="S104" s="5">
        <f t="shared" si="9"/>
        <v>137.33333333333334</v>
      </c>
      <c r="T104" s="5">
        <f t="shared" si="10"/>
        <v>4.8137733406647865</v>
      </c>
      <c r="U104" s="5">
        <f t="shared" si="11"/>
        <v>28.529247975428664</v>
      </c>
      <c r="V104" s="4" t="s">
        <v>21</v>
      </c>
      <c r="W104" s="4" t="s">
        <v>21</v>
      </c>
      <c r="X104" s="4" t="s">
        <v>21</v>
      </c>
      <c r="Y104" s="4" t="s">
        <v>21</v>
      </c>
      <c r="Z104" s="10">
        <v>0</v>
      </c>
      <c r="AA104" s="10">
        <v>0</v>
      </c>
      <c r="AB104" s="10">
        <v>0</v>
      </c>
      <c r="AC104" s="10">
        <v>0</v>
      </c>
      <c r="AD104" s="4"/>
      <c r="AE104" s="54">
        <v>-1.0663270950317381E-3</v>
      </c>
      <c r="AF104" s="54">
        <v>-0.69892668724060059</v>
      </c>
    </row>
    <row r="105" spans="1:32" x14ac:dyDescent="0.2">
      <c r="A105" s="53" t="s">
        <v>2130</v>
      </c>
      <c r="B105" s="53" t="s">
        <v>2161</v>
      </c>
      <c r="C105" s="54" t="s">
        <v>3172</v>
      </c>
      <c r="D105" s="20" t="s">
        <v>266</v>
      </c>
      <c r="E105" s="9" t="s">
        <v>268</v>
      </c>
      <c r="F105" s="4" t="s">
        <v>267</v>
      </c>
      <c r="G105" s="4" t="s">
        <v>233</v>
      </c>
      <c r="H105" s="4">
        <v>142</v>
      </c>
      <c r="I105" s="5">
        <f t="shared" si="6"/>
        <v>110.88127972613886</v>
      </c>
      <c r="J105" s="4">
        <v>975</v>
      </c>
      <c r="K105" s="5">
        <f t="shared" si="7"/>
        <v>526.37460704111061</v>
      </c>
      <c r="L105" s="5">
        <v>0</v>
      </c>
      <c r="M105" s="5">
        <v>0</v>
      </c>
      <c r="N105" s="4">
        <v>0</v>
      </c>
      <c r="O105" s="5">
        <f t="shared" si="8"/>
        <v>0</v>
      </c>
      <c r="P105" s="4">
        <v>121</v>
      </c>
      <c r="Q105" s="4">
        <v>156</v>
      </c>
      <c r="R105" s="4">
        <v>104</v>
      </c>
      <c r="S105" s="5">
        <f t="shared" si="9"/>
        <v>127</v>
      </c>
      <c r="T105" s="5">
        <f t="shared" si="10"/>
        <v>4.7471909445957134</v>
      </c>
      <c r="U105" s="5">
        <f t="shared" si="11"/>
        <v>26.752663097442721</v>
      </c>
      <c r="V105" s="4">
        <v>29</v>
      </c>
      <c r="W105" s="4">
        <v>48</v>
      </c>
      <c r="X105" s="4">
        <v>2</v>
      </c>
      <c r="Y105" s="4">
        <v>-20</v>
      </c>
      <c r="Z105" s="4">
        <v>0</v>
      </c>
      <c r="AA105" s="4">
        <v>0</v>
      </c>
      <c r="AB105" s="4">
        <v>0</v>
      </c>
      <c r="AC105" s="4">
        <v>0</v>
      </c>
      <c r="AD105" s="4"/>
      <c r="AE105" s="54">
        <v>-4.4751167297363281E-4</v>
      </c>
      <c r="AF105" s="54">
        <v>-0.51187217235565186</v>
      </c>
    </row>
    <row r="106" spans="1:32" x14ac:dyDescent="0.2">
      <c r="A106" s="53" t="s">
        <v>2582</v>
      </c>
      <c r="B106" s="53" t="s">
        <v>2581</v>
      </c>
      <c r="C106" s="54" t="s">
        <v>3078</v>
      </c>
      <c r="D106" s="16" t="s">
        <v>1201</v>
      </c>
      <c r="E106" s="4" t="s">
        <v>1203</v>
      </c>
      <c r="F106" s="4" t="s">
        <v>1202</v>
      </c>
      <c r="G106" s="4" t="s">
        <v>1387</v>
      </c>
      <c r="H106" s="4">
        <v>157</v>
      </c>
      <c r="I106" s="5">
        <f t="shared" si="6"/>
        <v>122.59409096481549</v>
      </c>
      <c r="J106" s="4">
        <v>4990</v>
      </c>
      <c r="K106" s="5">
        <f t="shared" si="7"/>
        <v>2693.9582452668128</v>
      </c>
      <c r="L106" s="5">
        <v>0</v>
      </c>
      <c r="M106" s="5">
        <v>0</v>
      </c>
      <c r="N106" s="4">
        <v>0</v>
      </c>
      <c r="O106" s="5">
        <f t="shared" si="8"/>
        <v>0</v>
      </c>
      <c r="P106" s="4">
        <v>1079</v>
      </c>
      <c r="Q106" s="4">
        <v>248</v>
      </c>
      <c r="R106" s="4">
        <v>350</v>
      </c>
      <c r="S106" s="5">
        <f t="shared" si="9"/>
        <v>559</v>
      </c>
      <c r="T106" s="5">
        <f t="shared" si="10"/>
        <v>21.974617406641393</v>
      </c>
      <c r="U106" s="5">
        <f t="shared" si="11"/>
        <v>25.438440617903698</v>
      </c>
      <c r="V106" s="4" t="s">
        <v>21</v>
      </c>
      <c r="W106" s="4" t="s">
        <v>21</v>
      </c>
      <c r="X106" s="4" t="s">
        <v>21</v>
      </c>
      <c r="Y106" s="4" t="s">
        <v>21</v>
      </c>
      <c r="Z106" s="10">
        <v>0</v>
      </c>
      <c r="AA106" s="10">
        <v>0</v>
      </c>
      <c r="AB106" s="10">
        <v>0</v>
      </c>
      <c r="AC106" s="10">
        <v>0</v>
      </c>
      <c r="AD106" s="4"/>
      <c r="AE106" s="54">
        <v>1.318693161010742E-3</v>
      </c>
      <c r="AF106" s="54">
        <v>0.78616505861282349</v>
      </c>
    </row>
    <row r="107" spans="1:32" x14ac:dyDescent="0.2">
      <c r="A107" s="53" t="s">
        <v>2130</v>
      </c>
      <c r="B107" s="53" t="s">
        <v>2166</v>
      </c>
      <c r="C107" s="54" t="s">
        <v>3138</v>
      </c>
      <c r="D107" s="20" t="s">
        <v>78</v>
      </c>
      <c r="E107" s="9" t="s">
        <v>80</v>
      </c>
      <c r="F107" s="4" t="s">
        <v>79</v>
      </c>
      <c r="G107" s="4" t="s">
        <v>249</v>
      </c>
      <c r="H107" s="4">
        <v>550</v>
      </c>
      <c r="I107" s="5">
        <f t="shared" si="6"/>
        <v>429.46974541814348</v>
      </c>
      <c r="J107" s="4">
        <v>3656</v>
      </c>
      <c r="K107" s="5">
        <f t="shared" si="7"/>
        <v>1973.7698085562058</v>
      </c>
      <c r="L107" s="5">
        <v>0</v>
      </c>
      <c r="M107" s="5">
        <v>1</v>
      </c>
      <c r="N107" s="4">
        <v>0</v>
      </c>
      <c r="O107" s="5">
        <f t="shared" si="8"/>
        <v>0.33333333333333331</v>
      </c>
      <c r="P107" s="4">
        <v>174</v>
      </c>
      <c r="Q107" s="4">
        <v>158</v>
      </c>
      <c r="R107" s="4">
        <v>102</v>
      </c>
      <c r="S107" s="5">
        <f t="shared" si="9"/>
        <v>144.66666666666666</v>
      </c>
      <c r="T107" s="5">
        <f t="shared" si="10"/>
        <v>4.5958296937412664</v>
      </c>
      <c r="U107" s="5">
        <f t="shared" si="11"/>
        <v>23.608359584724916</v>
      </c>
      <c r="V107" s="4">
        <v>22</v>
      </c>
      <c r="W107" s="4">
        <v>-15</v>
      </c>
      <c r="X107" s="4">
        <v>-20</v>
      </c>
      <c r="Y107" s="4">
        <v>-18</v>
      </c>
      <c r="Z107" s="4">
        <v>0.01</v>
      </c>
      <c r="AA107" s="4">
        <v>0</v>
      </c>
      <c r="AB107" s="4">
        <v>0.03</v>
      </c>
      <c r="AC107" s="4">
        <v>0</v>
      </c>
      <c r="AD107" s="4"/>
      <c r="AE107" s="54">
        <v>7.2747468948364258E-4</v>
      </c>
      <c r="AF107" s="54">
        <v>0.62811887264251709</v>
      </c>
    </row>
    <row r="108" spans="1:32" x14ac:dyDescent="0.2">
      <c r="A108" s="53" t="s">
        <v>2683</v>
      </c>
      <c r="B108" s="53" t="s">
        <v>2716</v>
      </c>
      <c r="C108" s="54" t="s">
        <v>2971</v>
      </c>
      <c r="D108" s="13" t="s">
        <v>1353</v>
      </c>
      <c r="E108" s="4" t="s">
        <v>1355</v>
      </c>
      <c r="F108" s="4" t="s">
        <v>1354</v>
      </c>
      <c r="G108" s="4" t="s">
        <v>38</v>
      </c>
      <c r="H108" s="4">
        <v>221</v>
      </c>
      <c r="I108" s="5">
        <f t="shared" si="6"/>
        <v>172.56875224983582</v>
      </c>
      <c r="J108" s="4">
        <v>4504</v>
      </c>
      <c r="K108" s="5">
        <f t="shared" si="7"/>
        <v>2431.5807488340124</v>
      </c>
      <c r="L108" s="5">
        <v>1</v>
      </c>
      <c r="M108" s="5">
        <v>0</v>
      </c>
      <c r="N108" s="4">
        <v>7</v>
      </c>
      <c r="O108" s="5">
        <f t="shared" si="8"/>
        <v>2.6666666666666665</v>
      </c>
      <c r="P108" s="4">
        <v>485</v>
      </c>
      <c r="Q108" s="4">
        <v>530</v>
      </c>
      <c r="R108" s="4">
        <v>2639</v>
      </c>
      <c r="S108" s="5">
        <f t="shared" si="9"/>
        <v>1218</v>
      </c>
      <c r="T108" s="5">
        <f t="shared" si="10"/>
        <v>14.090504318613254</v>
      </c>
      <c r="U108" s="5">
        <f t="shared" si="11"/>
        <v>23.574870754839708</v>
      </c>
      <c r="V108" s="4" t="s">
        <v>21</v>
      </c>
      <c r="W108" s="4" t="s">
        <v>21</v>
      </c>
      <c r="X108" s="4" t="s">
        <v>21</v>
      </c>
      <c r="Y108" s="4" t="s">
        <v>21</v>
      </c>
      <c r="Z108" s="10">
        <v>0</v>
      </c>
      <c r="AA108" s="10">
        <v>0</v>
      </c>
      <c r="AB108" s="10">
        <v>0</v>
      </c>
      <c r="AC108" s="10">
        <v>0</v>
      </c>
      <c r="AD108" s="4"/>
      <c r="AE108" s="54">
        <v>5.1522254943847656E-4</v>
      </c>
      <c r="AF108" s="54">
        <v>0.49464499950408941</v>
      </c>
    </row>
    <row r="109" spans="1:32" x14ac:dyDescent="0.2">
      <c r="A109" s="53" t="s">
        <v>2217</v>
      </c>
      <c r="B109" s="53" t="s">
        <v>2219</v>
      </c>
      <c r="C109" s="54" t="s">
        <v>3058</v>
      </c>
      <c r="D109" s="14" t="s">
        <v>250</v>
      </c>
      <c r="E109" s="4" t="s">
        <v>252</v>
      </c>
      <c r="F109" s="4" t="s">
        <v>251</v>
      </c>
      <c r="G109" s="12" t="s">
        <v>22</v>
      </c>
      <c r="H109" s="4">
        <v>2209</v>
      </c>
      <c r="I109" s="5">
        <f t="shared" si="6"/>
        <v>1724.9066684157797</v>
      </c>
      <c r="J109" s="4">
        <v>4438</v>
      </c>
      <c r="K109" s="5">
        <f t="shared" si="7"/>
        <v>2395.9492369727682</v>
      </c>
      <c r="L109" s="5">
        <v>0</v>
      </c>
      <c r="M109" s="5">
        <v>0</v>
      </c>
      <c r="N109" s="5">
        <v>0</v>
      </c>
      <c r="O109" s="5">
        <f t="shared" si="8"/>
        <v>0</v>
      </c>
      <c r="P109" s="4">
        <v>45</v>
      </c>
      <c r="Q109" s="4">
        <v>18</v>
      </c>
      <c r="R109" s="4">
        <v>32</v>
      </c>
      <c r="S109" s="5">
        <f t="shared" si="9"/>
        <v>31.666666666666668</v>
      </c>
      <c r="T109" s="5">
        <f t="shared" si="10"/>
        <v>1.3890312333091619</v>
      </c>
      <c r="U109" s="5">
        <f t="shared" si="11"/>
        <v>22.797663513458591</v>
      </c>
      <c r="V109" s="4">
        <v>-22</v>
      </c>
      <c r="W109" s="4">
        <v>-1</v>
      </c>
      <c r="X109" s="4">
        <v>-29</v>
      </c>
      <c r="Y109" s="4">
        <v>32</v>
      </c>
      <c r="Z109" s="4">
        <v>0</v>
      </c>
      <c r="AA109" s="4">
        <v>0</v>
      </c>
      <c r="AB109" s="4">
        <v>0</v>
      </c>
      <c r="AC109" s="4">
        <v>0</v>
      </c>
      <c r="AD109" s="4"/>
      <c r="AE109" s="54">
        <v>2.5296211242675781E-4</v>
      </c>
      <c r="AF109" s="54">
        <v>0.41229036450386047</v>
      </c>
    </row>
    <row r="110" spans="1:32" x14ac:dyDescent="0.2">
      <c r="A110" s="53" t="s">
        <v>2658</v>
      </c>
      <c r="B110" s="53" t="s">
        <v>2657</v>
      </c>
      <c r="C110" s="54" t="s">
        <v>2986</v>
      </c>
      <c r="D110" s="13" t="s">
        <v>1256</v>
      </c>
      <c r="E110" s="4" t="s">
        <v>1258</v>
      </c>
      <c r="F110" s="4" t="s">
        <v>1257</v>
      </c>
      <c r="G110" s="4" t="s">
        <v>1436</v>
      </c>
      <c r="H110" s="4">
        <v>290</v>
      </c>
      <c r="I110" s="5">
        <f t="shared" si="6"/>
        <v>226.44768394774837</v>
      </c>
      <c r="J110" s="4">
        <v>2427</v>
      </c>
      <c r="K110" s="5">
        <f t="shared" si="7"/>
        <v>1310.267867988488</v>
      </c>
      <c r="L110" s="5">
        <v>0</v>
      </c>
      <c r="M110" s="5">
        <v>0</v>
      </c>
      <c r="N110" s="4">
        <v>0</v>
      </c>
      <c r="O110" s="5">
        <f t="shared" si="8"/>
        <v>0</v>
      </c>
      <c r="P110" s="4">
        <v>192</v>
      </c>
      <c r="Q110" s="4">
        <v>115</v>
      </c>
      <c r="R110" s="4">
        <v>81</v>
      </c>
      <c r="S110" s="5">
        <f t="shared" si="9"/>
        <v>129.33333333333334</v>
      </c>
      <c r="T110" s="5">
        <f t="shared" si="10"/>
        <v>5.7861835685227208</v>
      </c>
      <c r="U110" s="5">
        <f t="shared" si="11"/>
        <v>22.352096472866247</v>
      </c>
      <c r="V110" s="4">
        <v>45</v>
      </c>
      <c r="W110" s="4">
        <v>-2</v>
      </c>
      <c r="X110" s="4">
        <v>0</v>
      </c>
      <c r="Y110" s="4">
        <v>-48</v>
      </c>
      <c r="Z110" s="4">
        <v>0</v>
      </c>
      <c r="AA110" s="4">
        <v>0</v>
      </c>
      <c r="AB110" s="4">
        <v>0</v>
      </c>
      <c r="AC110" s="4">
        <v>0</v>
      </c>
      <c r="AD110" s="4"/>
      <c r="AE110" s="54">
        <v>1.1120438575744631E-3</v>
      </c>
      <c r="AF110" s="54">
        <v>0.71620386838912964</v>
      </c>
    </row>
    <row r="111" spans="1:32" x14ac:dyDescent="0.2">
      <c r="A111" s="53" t="s">
        <v>2097</v>
      </c>
      <c r="B111" s="53" t="s">
        <v>2096</v>
      </c>
      <c r="C111" s="54" t="s">
        <v>3009</v>
      </c>
      <c r="D111" s="13" t="s">
        <v>177</v>
      </c>
      <c r="E111" s="4" t="s">
        <v>179</v>
      </c>
      <c r="F111" s="4" t="s">
        <v>178</v>
      </c>
      <c r="G111" s="4" t="s">
        <v>17</v>
      </c>
      <c r="H111" s="4">
        <v>2125</v>
      </c>
      <c r="I111" s="5">
        <f t="shared" si="6"/>
        <v>1659.3149254791908</v>
      </c>
      <c r="J111" s="4">
        <v>2993</v>
      </c>
      <c r="K111" s="5">
        <f t="shared" si="7"/>
        <v>1615.8350757682506</v>
      </c>
      <c r="L111" s="5">
        <v>0</v>
      </c>
      <c r="M111" s="5">
        <v>1</v>
      </c>
      <c r="N111" s="5">
        <v>0</v>
      </c>
      <c r="O111" s="5">
        <f t="shared" si="8"/>
        <v>0.33333333333333331</v>
      </c>
      <c r="P111" s="4">
        <v>29</v>
      </c>
      <c r="Q111" s="4">
        <v>38</v>
      </c>
      <c r="R111" s="4">
        <v>14</v>
      </c>
      <c r="S111" s="5">
        <f t="shared" si="9"/>
        <v>27</v>
      </c>
      <c r="T111" s="5">
        <f t="shared" si="10"/>
        <v>0.97379650538707485</v>
      </c>
      <c r="U111" s="5">
        <f t="shared" si="11"/>
        <v>20.794899024566554</v>
      </c>
      <c r="V111" s="4">
        <v>-10</v>
      </c>
      <c r="W111" s="4">
        <v>-17</v>
      </c>
      <c r="X111" s="4">
        <v>5</v>
      </c>
      <c r="Y111" s="4">
        <v>-46</v>
      </c>
      <c r="Z111" s="4">
        <v>0</v>
      </c>
      <c r="AA111" s="4">
        <v>0</v>
      </c>
      <c r="AB111" s="4">
        <v>0</v>
      </c>
      <c r="AC111" s="4">
        <v>0</v>
      </c>
      <c r="AD111" s="4"/>
      <c r="AE111" s="54">
        <v>-3.0529499053955078E-4</v>
      </c>
      <c r="AF111" s="54">
        <v>-0.37327557802200317</v>
      </c>
    </row>
    <row r="112" spans="1:32" x14ac:dyDescent="0.2">
      <c r="A112" s="53" t="s">
        <v>2787</v>
      </c>
      <c r="B112" s="53" t="s">
        <v>2789</v>
      </c>
      <c r="C112" s="54" t="s">
        <v>3477</v>
      </c>
      <c r="D112" s="13" t="s">
        <v>1403</v>
      </c>
      <c r="E112" s="4" t="s">
        <v>1405</v>
      </c>
      <c r="F112" s="4" t="s">
        <v>1404</v>
      </c>
      <c r="G112" s="4" t="s">
        <v>107</v>
      </c>
      <c r="H112" s="4">
        <v>1801</v>
      </c>
      <c r="I112" s="5">
        <f t="shared" si="6"/>
        <v>1406.3182027237751</v>
      </c>
      <c r="J112" s="4">
        <v>2640</v>
      </c>
      <c r="K112" s="5">
        <f t="shared" si="7"/>
        <v>1425.2604744497767</v>
      </c>
      <c r="L112" s="5">
        <v>0</v>
      </c>
      <c r="M112" s="5">
        <v>0</v>
      </c>
      <c r="N112" s="5">
        <v>0</v>
      </c>
      <c r="O112" s="5">
        <f t="shared" si="8"/>
        <v>0</v>
      </c>
      <c r="P112" s="4">
        <v>25</v>
      </c>
      <c r="Q112" s="4">
        <v>18</v>
      </c>
      <c r="R112" s="4">
        <v>20</v>
      </c>
      <c r="S112" s="5">
        <f t="shared" si="9"/>
        <v>21</v>
      </c>
      <c r="T112" s="5">
        <f t="shared" si="10"/>
        <v>1.013469406631667</v>
      </c>
      <c r="U112" s="5">
        <f t="shared" si="11"/>
        <v>20.720901748573642</v>
      </c>
      <c r="V112" s="4" t="s">
        <v>21</v>
      </c>
      <c r="W112" s="4" t="s">
        <v>21</v>
      </c>
      <c r="X112" s="4" t="s">
        <v>21</v>
      </c>
      <c r="Y112" s="4" t="s">
        <v>21</v>
      </c>
      <c r="Z112" s="4">
        <v>0</v>
      </c>
      <c r="AA112" s="4">
        <v>0</v>
      </c>
      <c r="AB112" s="4">
        <v>0</v>
      </c>
      <c r="AC112" s="4">
        <v>0</v>
      </c>
      <c r="AD112" s="4"/>
      <c r="AE112" s="54">
        <v>-2.4875998497009277E-4</v>
      </c>
      <c r="AF112" s="54">
        <v>-0.39295980334281921</v>
      </c>
    </row>
    <row r="113" spans="1:32" x14ac:dyDescent="0.2">
      <c r="A113" s="53" t="s">
        <v>2854</v>
      </c>
      <c r="B113" s="53" t="s">
        <v>2855</v>
      </c>
      <c r="C113" s="54" t="s">
        <v>3085</v>
      </c>
      <c r="D113" s="13" t="s">
        <v>1868</v>
      </c>
      <c r="E113" s="4" t="s">
        <v>1870</v>
      </c>
      <c r="F113" s="4" t="s">
        <v>1869</v>
      </c>
      <c r="G113" s="4" t="s">
        <v>164</v>
      </c>
      <c r="H113" s="4">
        <v>1212</v>
      </c>
      <c r="I113" s="5">
        <f t="shared" si="6"/>
        <v>946.39514808507249</v>
      </c>
      <c r="J113" s="4">
        <v>5146</v>
      </c>
      <c r="K113" s="5">
        <f t="shared" si="7"/>
        <v>2778.1781823933902</v>
      </c>
      <c r="L113" s="5">
        <v>0</v>
      </c>
      <c r="M113" s="5">
        <v>1</v>
      </c>
      <c r="N113" s="5">
        <v>0</v>
      </c>
      <c r="O113" s="5">
        <f t="shared" si="8"/>
        <v>0.33333333333333331</v>
      </c>
      <c r="P113" s="4">
        <v>79</v>
      </c>
      <c r="Q113" s="4">
        <v>69</v>
      </c>
      <c r="R113" s="4">
        <v>56</v>
      </c>
      <c r="S113" s="5">
        <f t="shared" si="9"/>
        <v>68</v>
      </c>
      <c r="T113" s="5">
        <f t="shared" si="10"/>
        <v>2.9355372203827663</v>
      </c>
      <c r="U113" s="5">
        <f t="shared" si="11"/>
        <v>17.373310631486419</v>
      </c>
      <c r="V113" s="4">
        <v>-22</v>
      </c>
      <c r="W113" s="4">
        <v>3</v>
      </c>
      <c r="X113" s="4">
        <v>36</v>
      </c>
      <c r="Y113" s="4">
        <v>3</v>
      </c>
      <c r="Z113" s="4">
        <v>0</v>
      </c>
      <c r="AA113" s="4">
        <v>0.01</v>
      </c>
      <c r="AB113" s="4">
        <v>0</v>
      </c>
      <c r="AC113" s="4">
        <v>0.01</v>
      </c>
      <c r="AD113" s="4"/>
      <c r="AE113" s="54">
        <v>-2.1159648895263668E-5</v>
      </c>
      <c r="AF113" s="54">
        <v>-8.057684451341629E-2</v>
      </c>
    </row>
    <row r="114" spans="1:32" x14ac:dyDescent="0.2">
      <c r="A114" s="53" t="s">
        <v>2222</v>
      </c>
      <c r="B114" s="53" t="s">
        <v>2223</v>
      </c>
      <c r="C114" s="54" t="s">
        <v>3064</v>
      </c>
      <c r="D114" s="14" t="s">
        <v>405</v>
      </c>
      <c r="E114" s="4" t="s">
        <v>407</v>
      </c>
      <c r="F114" s="4" t="s">
        <v>406</v>
      </c>
      <c r="G114" s="12" t="s">
        <v>22</v>
      </c>
      <c r="H114" s="4">
        <v>1976</v>
      </c>
      <c r="I114" s="5">
        <f t="shared" si="6"/>
        <v>1542.9676671750026</v>
      </c>
      <c r="J114" s="4">
        <v>4778</v>
      </c>
      <c r="K114" s="5">
        <f t="shared" si="7"/>
        <v>2579.5055101973608</v>
      </c>
      <c r="L114" s="5">
        <v>0</v>
      </c>
      <c r="M114" s="5">
        <v>0</v>
      </c>
      <c r="N114" s="5">
        <v>0</v>
      </c>
      <c r="O114" s="5">
        <f t="shared" si="8"/>
        <v>0</v>
      </c>
      <c r="P114" s="4">
        <v>26</v>
      </c>
      <c r="Q114" s="4">
        <v>33</v>
      </c>
      <c r="R114" s="4">
        <v>22</v>
      </c>
      <c r="S114" s="5">
        <f t="shared" si="9"/>
        <v>27</v>
      </c>
      <c r="T114" s="5">
        <f t="shared" si="10"/>
        <v>1.671781959579322</v>
      </c>
      <c r="U114" s="5">
        <f t="shared" si="11"/>
        <v>16.150431487365811</v>
      </c>
      <c r="V114" s="4">
        <v>-19</v>
      </c>
      <c r="W114" s="4">
        <v>14</v>
      </c>
      <c r="X114" s="4">
        <v>4</v>
      </c>
      <c r="Y114" s="4">
        <v>-14</v>
      </c>
      <c r="Z114" s="4">
        <v>0</v>
      </c>
      <c r="AA114" s="4">
        <v>0</v>
      </c>
      <c r="AB114" s="4">
        <v>0</v>
      </c>
      <c r="AC114" s="4">
        <v>0</v>
      </c>
      <c r="AD114" s="4"/>
      <c r="AE114" s="54">
        <v>-3.3819675445556641E-4</v>
      </c>
      <c r="AF114" s="54">
        <v>-0.39295980334281921</v>
      </c>
    </row>
    <row r="115" spans="1:32" x14ac:dyDescent="0.2">
      <c r="A115" s="53" t="s">
        <v>2243</v>
      </c>
      <c r="B115" s="53" t="s">
        <v>2517</v>
      </c>
      <c r="C115" s="54" t="s">
        <v>3189</v>
      </c>
      <c r="D115" s="13" t="s">
        <v>693</v>
      </c>
      <c r="E115" s="4" t="s">
        <v>695</v>
      </c>
      <c r="F115" s="4" t="s">
        <v>694</v>
      </c>
      <c r="G115" s="4" t="s">
        <v>1255</v>
      </c>
      <c r="H115" s="4">
        <v>181</v>
      </c>
      <c r="I115" s="5">
        <f t="shared" si="6"/>
        <v>141.33458894669812</v>
      </c>
      <c r="J115" s="4">
        <v>4845</v>
      </c>
      <c r="K115" s="5">
        <f t="shared" si="7"/>
        <v>2615.6768934504421</v>
      </c>
      <c r="L115" s="5">
        <v>0</v>
      </c>
      <c r="M115" s="5">
        <v>0</v>
      </c>
      <c r="N115" s="4">
        <v>0</v>
      </c>
      <c r="O115" s="5">
        <f t="shared" si="8"/>
        <v>0</v>
      </c>
      <c r="P115" s="4">
        <v>272</v>
      </c>
      <c r="Q115" s="4">
        <v>401</v>
      </c>
      <c r="R115" s="4">
        <v>145</v>
      </c>
      <c r="S115" s="5">
        <f t="shared" si="9"/>
        <v>272.66666666666669</v>
      </c>
      <c r="T115" s="5">
        <f t="shared" si="10"/>
        <v>18.506983413924946</v>
      </c>
      <c r="U115" s="5">
        <f t="shared" si="11"/>
        <v>14.733177231979793</v>
      </c>
      <c r="V115" s="4">
        <v>14</v>
      </c>
      <c r="W115" s="4">
        <v>-23</v>
      </c>
      <c r="X115" s="4">
        <v>38</v>
      </c>
      <c r="Y115" s="4">
        <v>14</v>
      </c>
      <c r="Z115" s="4">
        <v>0</v>
      </c>
      <c r="AA115" s="4">
        <v>0</v>
      </c>
      <c r="AB115" s="4">
        <v>0</v>
      </c>
      <c r="AC115" s="4">
        <v>0</v>
      </c>
      <c r="AD115" s="4"/>
      <c r="AE115" s="54">
        <v>-4.8382282257080078E-3</v>
      </c>
      <c r="AF115" s="54">
        <v>-0.98542571067810059</v>
      </c>
    </row>
    <row r="116" spans="1:32" x14ac:dyDescent="0.2">
      <c r="A116" s="53" t="s">
        <v>2665</v>
      </c>
      <c r="B116" s="53" t="s">
        <v>2666</v>
      </c>
      <c r="C116" s="54" t="s">
        <v>3086</v>
      </c>
      <c r="D116" s="13" t="s">
        <v>1362</v>
      </c>
      <c r="E116" s="4" t="s">
        <v>1364</v>
      </c>
      <c r="F116" s="4" t="s">
        <v>1363</v>
      </c>
      <c r="G116" s="4" t="s">
        <v>50</v>
      </c>
      <c r="H116" s="4">
        <v>2388</v>
      </c>
      <c r="I116" s="5">
        <f t="shared" si="6"/>
        <v>1864.679549197321</v>
      </c>
      <c r="J116" s="4">
        <v>4757</v>
      </c>
      <c r="K116" s="5">
        <f t="shared" si="7"/>
        <v>2568.1682109687827</v>
      </c>
      <c r="L116" s="5">
        <v>0</v>
      </c>
      <c r="M116" s="5">
        <v>1</v>
      </c>
      <c r="N116" s="5">
        <v>0</v>
      </c>
      <c r="O116" s="5">
        <f t="shared" si="8"/>
        <v>0.33333333333333331</v>
      </c>
      <c r="P116" s="4">
        <v>30</v>
      </c>
      <c r="Q116" s="4">
        <v>25</v>
      </c>
      <c r="R116" s="4">
        <v>18</v>
      </c>
      <c r="S116" s="5">
        <f t="shared" si="9"/>
        <v>24.333333333333332</v>
      </c>
      <c r="T116" s="5">
        <f t="shared" si="10"/>
        <v>1.3772705407072701</v>
      </c>
      <c r="U116" s="5">
        <f t="shared" si="11"/>
        <v>13.250846119621547</v>
      </c>
      <c r="V116" s="4">
        <v>-2</v>
      </c>
      <c r="W116" s="4">
        <v>-6</v>
      </c>
      <c r="X116" s="4">
        <v>-2</v>
      </c>
      <c r="Y116" s="4">
        <v>-6</v>
      </c>
      <c r="Z116" s="4">
        <v>0</v>
      </c>
      <c r="AA116" s="4">
        <v>0</v>
      </c>
      <c r="AB116" s="4">
        <v>0</v>
      </c>
      <c r="AC116" s="4">
        <v>0</v>
      </c>
      <c r="AD116" s="4"/>
      <c r="AE116" s="54">
        <v>1.2965202331542971E-3</v>
      </c>
      <c r="AF116" s="54">
        <v>0.7631148099899292</v>
      </c>
    </row>
    <row r="117" spans="1:32" x14ac:dyDescent="0.2">
      <c r="A117" s="53" t="s">
        <v>2541</v>
      </c>
      <c r="B117" s="53" t="s">
        <v>2540</v>
      </c>
      <c r="C117" s="54" t="s">
        <v>3082</v>
      </c>
      <c r="D117" s="13" t="s">
        <v>1125</v>
      </c>
      <c r="E117" s="4" t="s">
        <v>1127</v>
      </c>
      <c r="F117" s="4" t="s">
        <v>1126</v>
      </c>
      <c r="G117" s="4" t="s">
        <v>50</v>
      </c>
      <c r="H117" s="4">
        <v>240</v>
      </c>
      <c r="I117" s="5">
        <f t="shared" si="6"/>
        <v>187.40497981882623</v>
      </c>
      <c r="J117" s="4">
        <v>4312</v>
      </c>
      <c r="K117" s="5">
        <f t="shared" si="7"/>
        <v>2327.9254416013018</v>
      </c>
      <c r="L117" s="5">
        <v>0</v>
      </c>
      <c r="M117" s="5">
        <v>0</v>
      </c>
      <c r="N117" s="4">
        <v>0</v>
      </c>
      <c r="O117" s="5">
        <f t="shared" si="8"/>
        <v>0</v>
      </c>
      <c r="P117" s="4">
        <v>142</v>
      </c>
      <c r="Q117" s="4">
        <v>204</v>
      </c>
      <c r="R117" s="4">
        <v>52</v>
      </c>
      <c r="S117" s="5">
        <f t="shared" si="9"/>
        <v>132.66666666666666</v>
      </c>
      <c r="T117" s="5">
        <f t="shared" si="10"/>
        <v>12.421897453588606</v>
      </c>
      <c r="U117" s="5">
        <f t="shared" si="11"/>
        <v>10.680064552323293</v>
      </c>
      <c r="V117" s="4">
        <v>21</v>
      </c>
      <c r="W117" s="4">
        <v>-2</v>
      </c>
      <c r="X117" s="4">
        <v>36</v>
      </c>
      <c r="Y117" s="4">
        <v>-2</v>
      </c>
      <c r="Z117" s="4">
        <v>0</v>
      </c>
      <c r="AA117" s="4">
        <v>0</v>
      </c>
      <c r="AB117" s="4">
        <v>0</v>
      </c>
      <c r="AC117" s="4">
        <v>0</v>
      </c>
      <c r="AD117" s="4"/>
      <c r="AE117" s="54">
        <v>-7.6174736022949219E-5</v>
      </c>
      <c r="AF117" s="54">
        <v>-0.18250791728496549</v>
      </c>
    </row>
    <row r="118" spans="1:32" x14ac:dyDescent="0.2">
      <c r="A118" s="53" t="s">
        <v>2243</v>
      </c>
      <c r="B118" s="53" t="s">
        <v>2536</v>
      </c>
      <c r="C118" s="54" t="s">
        <v>3443</v>
      </c>
      <c r="D118" s="13" t="s">
        <v>1307</v>
      </c>
      <c r="E118" s="4" t="s">
        <v>1309</v>
      </c>
      <c r="F118" s="4" t="s">
        <v>1308</v>
      </c>
      <c r="G118" s="4" t="s">
        <v>365</v>
      </c>
      <c r="H118" s="4">
        <v>1207</v>
      </c>
      <c r="I118" s="5">
        <f t="shared" si="6"/>
        <v>942.49087767218032</v>
      </c>
      <c r="J118" s="4">
        <v>4425</v>
      </c>
      <c r="K118" s="5">
        <f t="shared" si="7"/>
        <v>2388.9309088788868</v>
      </c>
      <c r="L118" s="5">
        <v>0</v>
      </c>
      <c r="M118" s="5">
        <v>0</v>
      </c>
      <c r="N118" s="5">
        <v>0</v>
      </c>
      <c r="O118" s="5">
        <f t="shared" si="8"/>
        <v>0</v>
      </c>
      <c r="P118" s="4">
        <v>32</v>
      </c>
      <c r="Q118" s="4">
        <v>27</v>
      </c>
      <c r="R118" s="4">
        <v>21</v>
      </c>
      <c r="S118" s="5">
        <f t="shared" si="9"/>
        <v>26.666666666666668</v>
      </c>
      <c r="T118" s="5">
        <f t="shared" si="10"/>
        <v>2.5346992373859467</v>
      </c>
      <c r="U118" s="5">
        <f t="shared" si="11"/>
        <v>10.520643346296261</v>
      </c>
      <c r="V118" s="4">
        <v>41</v>
      </c>
      <c r="W118" s="4">
        <v>-2</v>
      </c>
      <c r="X118" s="4">
        <v>-27</v>
      </c>
      <c r="Y118" s="4">
        <v>3</v>
      </c>
      <c r="Z118" s="4">
        <v>0</v>
      </c>
      <c r="AA118" s="4">
        <v>0</v>
      </c>
      <c r="AB118" s="4">
        <v>0</v>
      </c>
      <c r="AC118" s="4">
        <v>0</v>
      </c>
      <c r="AD118" s="4"/>
      <c r="AE118" s="54">
        <v>-4.5371055603027338E-4</v>
      </c>
      <c r="AF118" s="54">
        <v>-0.4590030312538147</v>
      </c>
    </row>
    <row r="119" spans="1:32" x14ac:dyDescent="0.2">
      <c r="A119" s="53" t="s">
        <v>2787</v>
      </c>
      <c r="B119" s="53" t="s">
        <v>2823</v>
      </c>
      <c r="C119" s="54" t="s">
        <v>3515</v>
      </c>
      <c r="D119" s="13" t="s">
        <v>1427</v>
      </c>
      <c r="E119" s="4" t="s">
        <v>1429</v>
      </c>
      <c r="F119" s="4" t="s">
        <v>1428</v>
      </c>
      <c r="G119" s="4" t="s">
        <v>132</v>
      </c>
      <c r="H119" s="4">
        <v>909</v>
      </c>
      <c r="I119" s="5">
        <f t="shared" si="6"/>
        <v>709.7963610638044</v>
      </c>
      <c r="J119" s="4">
        <v>4320</v>
      </c>
      <c r="K119" s="5">
        <f t="shared" si="7"/>
        <v>2332.2444127359981</v>
      </c>
      <c r="L119" s="5">
        <v>0</v>
      </c>
      <c r="M119" s="5">
        <v>0</v>
      </c>
      <c r="N119" s="5">
        <v>0</v>
      </c>
      <c r="O119" s="5">
        <f t="shared" si="8"/>
        <v>0</v>
      </c>
      <c r="P119" s="4">
        <v>46</v>
      </c>
      <c r="Q119" s="4">
        <v>41</v>
      </c>
      <c r="R119" s="4">
        <v>16</v>
      </c>
      <c r="S119" s="5">
        <f t="shared" si="9"/>
        <v>34.333333333333336</v>
      </c>
      <c r="T119" s="5">
        <f t="shared" si="10"/>
        <v>3.2857937017887164</v>
      </c>
      <c r="U119" s="5">
        <f t="shared" si="11"/>
        <v>10.449022808292254</v>
      </c>
      <c r="V119" s="4">
        <v>12</v>
      </c>
      <c r="W119" s="4">
        <v>-46</v>
      </c>
      <c r="X119" s="4">
        <v>1</v>
      </c>
      <c r="Y119" s="4">
        <v>38</v>
      </c>
      <c r="Z119" s="4">
        <v>0</v>
      </c>
      <c r="AA119" s="4">
        <v>0</v>
      </c>
      <c r="AB119" s="4">
        <v>0</v>
      </c>
      <c r="AC119" s="4">
        <v>0</v>
      </c>
      <c r="AD119" s="4"/>
      <c r="AE119" s="54">
        <v>3.35693359375E-4</v>
      </c>
      <c r="AF119" s="54">
        <v>0.4590030312538147</v>
      </c>
    </row>
    <row r="120" spans="1:32" x14ac:dyDescent="0.2">
      <c r="A120" s="53" t="s">
        <v>2683</v>
      </c>
      <c r="B120" s="53" t="s">
        <v>2694</v>
      </c>
      <c r="C120" s="54" t="s">
        <v>2895</v>
      </c>
      <c r="D120" s="13" t="s">
        <v>1388</v>
      </c>
      <c r="E120" s="4" t="s">
        <v>1390</v>
      </c>
      <c r="F120" s="4" t="s">
        <v>1389</v>
      </c>
      <c r="G120" s="4" t="s">
        <v>233</v>
      </c>
      <c r="H120" s="4">
        <v>133</v>
      </c>
      <c r="I120" s="5">
        <f t="shared" si="6"/>
        <v>103.85359298293287</v>
      </c>
      <c r="J120" s="4">
        <v>974</v>
      </c>
      <c r="K120" s="5">
        <f t="shared" si="7"/>
        <v>525.83473564927374</v>
      </c>
      <c r="L120" s="5">
        <v>0</v>
      </c>
      <c r="M120" s="5">
        <v>0</v>
      </c>
      <c r="N120" s="5">
        <v>0</v>
      </c>
      <c r="O120" s="5">
        <f t="shared" si="8"/>
        <v>0</v>
      </c>
      <c r="P120" s="4">
        <v>52</v>
      </c>
      <c r="Q120" s="4">
        <v>64</v>
      </c>
      <c r="R120" s="4">
        <v>34</v>
      </c>
      <c r="S120" s="5">
        <f t="shared" si="9"/>
        <v>50</v>
      </c>
      <c r="T120" s="5">
        <f t="shared" si="10"/>
        <v>5.0632310404098257</v>
      </c>
      <c r="U120" s="5">
        <f t="shared" si="11"/>
        <v>9.875117212891972</v>
      </c>
      <c r="V120" s="4">
        <v>5</v>
      </c>
      <c r="W120" s="4">
        <v>-8</v>
      </c>
      <c r="X120" s="4">
        <v>-8</v>
      </c>
      <c r="Y120" s="4">
        <v>13</v>
      </c>
      <c r="Z120" s="4">
        <v>0</v>
      </c>
      <c r="AA120" s="4">
        <v>0</v>
      </c>
      <c r="AB120" s="4">
        <v>0</v>
      </c>
      <c r="AC120" s="4">
        <v>0</v>
      </c>
      <c r="AD120" s="4"/>
      <c r="AE120" s="54">
        <v>-3.1828880310058589E-3</v>
      </c>
      <c r="AF120" s="54">
        <v>-0.95134484767913818</v>
      </c>
    </row>
    <row r="121" spans="1:32" x14ac:dyDescent="0.2">
      <c r="A121" s="53" t="s">
        <v>2787</v>
      </c>
      <c r="B121" s="53" t="s">
        <v>2828</v>
      </c>
      <c r="C121" s="54" t="s">
        <v>3517</v>
      </c>
      <c r="D121" s="13" t="s">
        <v>1549</v>
      </c>
      <c r="E121" s="4" t="s">
        <v>1551</v>
      </c>
      <c r="F121" s="4" t="s">
        <v>1550</v>
      </c>
      <c r="G121" s="4" t="s">
        <v>132</v>
      </c>
      <c r="H121" s="4">
        <v>1510</v>
      </c>
      <c r="I121" s="5">
        <f t="shared" si="6"/>
        <v>1179.0896646934484</v>
      </c>
      <c r="J121" s="4">
        <v>3372</v>
      </c>
      <c r="K121" s="5">
        <f t="shared" si="7"/>
        <v>1820.4463332744874</v>
      </c>
      <c r="L121" s="5">
        <v>1</v>
      </c>
      <c r="M121" s="5">
        <v>0</v>
      </c>
      <c r="N121" s="5">
        <v>0</v>
      </c>
      <c r="O121" s="5">
        <f t="shared" si="8"/>
        <v>0.33333333333333331</v>
      </c>
      <c r="P121" s="4">
        <v>13</v>
      </c>
      <c r="Q121" s="4">
        <v>21</v>
      </c>
      <c r="R121" s="4">
        <v>12</v>
      </c>
      <c r="S121" s="5">
        <f t="shared" si="9"/>
        <v>15.333333333333334</v>
      </c>
      <c r="T121" s="5">
        <f t="shared" si="10"/>
        <v>1.5439422359348602</v>
      </c>
      <c r="U121" s="5">
        <f t="shared" si="11"/>
        <v>7.4484651901738594</v>
      </c>
      <c r="V121" s="4">
        <v>3</v>
      </c>
      <c r="W121" s="4">
        <v>21</v>
      </c>
      <c r="X121" s="4">
        <v>1</v>
      </c>
      <c r="Y121" s="4">
        <v>-2</v>
      </c>
      <c r="Z121" s="4">
        <v>0</v>
      </c>
      <c r="AA121" s="4">
        <v>0</v>
      </c>
      <c r="AB121" s="4">
        <v>0</v>
      </c>
      <c r="AC121" s="4">
        <v>0</v>
      </c>
      <c r="AD121" s="4"/>
      <c r="AE121" s="54">
        <v>6.2865018844604492E-4</v>
      </c>
      <c r="AF121" s="54">
        <v>0.59192442893981934</v>
      </c>
    </row>
    <row r="122" spans="1:32" x14ac:dyDescent="0.2">
      <c r="A122" s="53" t="s">
        <v>2243</v>
      </c>
      <c r="B122" s="53" t="s">
        <v>2245</v>
      </c>
      <c r="C122" s="54" t="s">
        <v>3451</v>
      </c>
      <c r="D122" s="20" t="s">
        <v>408</v>
      </c>
      <c r="E122" s="9" t="s">
        <v>410</v>
      </c>
      <c r="F122" s="4" t="s">
        <v>409</v>
      </c>
      <c r="G122" s="4" t="s">
        <v>427</v>
      </c>
      <c r="H122" s="4">
        <v>695</v>
      </c>
      <c r="I122" s="5">
        <f t="shared" si="6"/>
        <v>542.69358739201766</v>
      </c>
      <c r="J122" s="4">
        <v>4415</v>
      </c>
      <c r="K122" s="5">
        <f t="shared" si="7"/>
        <v>2383.5321949605163</v>
      </c>
      <c r="L122" s="5">
        <v>1</v>
      </c>
      <c r="M122" s="5">
        <v>1</v>
      </c>
      <c r="N122" s="5">
        <v>0</v>
      </c>
      <c r="O122" s="5">
        <f t="shared" si="8"/>
        <v>0.66666666666666663</v>
      </c>
      <c r="P122" s="4">
        <v>67</v>
      </c>
      <c r="Q122" s="4">
        <v>51</v>
      </c>
      <c r="R122" s="4">
        <v>41</v>
      </c>
      <c r="S122" s="5">
        <f t="shared" si="9"/>
        <v>53</v>
      </c>
      <c r="T122" s="5">
        <f t="shared" si="10"/>
        <v>4.3920404632287626</v>
      </c>
      <c r="U122" s="5">
        <f t="shared" si="11"/>
        <v>7.2403704533775093</v>
      </c>
      <c r="V122" s="4">
        <v>17</v>
      </c>
      <c r="W122" s="4">
        <v>0</v>
      </c>
      <c r="X122" s="4">
        <v>-46</v>
      </c>
      <c r="Y122" s="4">
        <v>1</v>
      </c>
      <c r="Z122" s="4">
        <v>0</v>
      </c>
      <c r="AA122" s="4">
        <v>0</v>
      </c>
      <c r="AB122" s="4">
        <v>0</v>
      </c>
      <c r="AC122" s="4">
        <v>0</v>
      </c>
      <c r="AD122" s="4"/>
      <c r="AE122" s="54">
        <v>5.4264068603515625E-4</v>
      </c>
      <c r="AF122" s="54">
        <v>0.51187217235565186</v>
      </c>
    </row>
    <row r="123" spans="1:32" x14ac:dyDescent="0.2">
      <c r="A123" s="53" t="s">
        <v>2587</v>
      </c>
      <c r="B123" s="53" t="s">
        <v>2586</v>
      </c>
      <c r="C123" s="54" t="s">
        <v>3134</v>
      </c>
      <c r="D123" s="13" t="s">
        <v>1356</v>
      </c>
      <c r="E123" s="4" t="s">
        <v>1358</v>
      </c>
      <c r="F123" s="4" t="s">
        <v>1357</v>
      </c>
      <c r="G123" s="4" t="s">
        <v>17</v>
      </c>
      <c r="H123" s="4">
        <v>839</v>
      </c>
      <c r="I123" s="5">
        <f t="shared" si="6"/>
        <v>655.13657528331339</v>
      </c>
      <c r="J123" s="4">
        <v>4275</v>
      </c>
      <c r="K123" s="5">
        <f t="shared" si="7"/>
        <v>2307.9502001033316</v>
      </c>
      <c r="L123" s="5">
        <v>0</v>
      </c>
      <c r="M123" s="5">
        <v>0</v>
      </c>
      <c r="N123" s="5">
        <v>0</v>
      </c>
      <c r="O123" s="5">
        <f t="shared" si="8"/>
        <v>0</v>
      </c>
      <c r="P123" s="4">
        <v>13</v>
      </c>
      <c r="Q123" s="4">
        <v>32</v>
      </c>
      <c r="R123" s="4">
        <v>14</v>
      </c>
      <c r="S123" s="5">
        <f t="shared" si="9"/>
        <v>19.666666666666668</v>
      </c>
      <c r="T123" s="5">
        <f t="shared" si="10"/>
        <v>3.5228535349369863</v>
      </c>
      <c r="U123" s="5">
        <f t="shared" si="11"/>
        <v>5.582595606552359</v>
      </c>
      <c r="V123" s="4">
        <v>-40</v>
      </c>
      <c r="W123" s="4">
        <v>26</v>
      </c>
      <c r="X123" s="4">
        <v>3</v>
      </c>
      <c r="Y123" s="4">
        <v>9</v>
      </c>
      <c r="Z123" s="4">
        <v>0</v>
      </c>
      <c r="AA123" s="4">
        <v>0</v>
      </c>
      <c r="AB123" s="4">
        <v>0</v>
      </c>
      <c r="AC123" s="4">
        <v>0</v>
      </c>
      <c r="AD123" s="4"/>
      <c r="AE123" s="54">
        <v>-1.0679721832275391E-2</v>
      </c>
      <c r="AF123" s="54">
        <v>-0.99836128950119019</v>
      </c>
    </row>
    <row r="124" spans="1:32" x14ac:dyDescent="0.2">
      <c r="A124" s="53" t="s">
        <v>2243</v>
      </c>
      <c r="B124" s="53" t="s">
        <v>2471</v>
      </c>
      <c r="C124" s="54" t="s">
        <v>3234</v>
      </c>
      <c r="D124" s="14" t="s">
        <v>1232</v>
      </c>
      <c r="E124" s="4" t="s">
        <v>1234</v>
      </c>
      <c r="F124" s="4" t="s">
        <v>1233</v>
      </c>
      <c r="G124" s="4" t="s">
        <v>27</v>
      </c>
      <c r="H124" s="4">
        <v>791</v>
      </c>
      <c r="I124" s="5">
        <f t="shared" si="6"/>
        <v>617.65557931954811</v>
      </c>
      <c r="J124" s="4">
        <v>1738</v>
      </c>
      <c r="K124" s="5">
        <f t="shared" si="7"/>
        <v>938.29647901276962</v>
      </c>
      <c r="L124" s="5">
        <v>0</v>
      </c>
      <c r="M124" s="5">
        <v>5</v>
      </c>
      <c r="N124" s="5">
        <v>0</v>
      </c>
      <c r="O124" s="5">
        <f t="shared" si="8"/>
        <v>1.6666666666666667</v>
      </c>
      <c r="P124" s="4">
        <v>5</v>
      </c>
      <c r="Q124" s="4">
        <v>45</v>
      </c>
      <c r="R124" s="4">
        <v>5</v>
      </c>
      <c r="S124" s="5">
        <f t="shared" si="9"/>
        <v>18.333333333333332</v>
      </c>
      <c r="T124" s="5">
        <f t="shared" si="10"/>
        <v>1.5191257238321421</v>
      </c>
      <c r="U124" s="5">
        <f t="shared" si="11"/>
        <v>4.525629374938859</v>
      </c>
      <c r="V124" s="4">
        <v>-40</v>
      </c>
      <c r="W124" s="4">
        <v>-35</v>
      </c>
      <c r="X124" s="4">
        <v>16</v>
      </c>
      <c r="Y124" s="4">
        <v>34</v>
      </c>
      <c r="Z124" s="4">
        <v>0</v>
      </c>
      <c r="AA124" s="4">
        <v>0</v>
      </c>
      <c r="AB124" s="4">
        <v>0</v>
      </c>
      <c r="AC124" s="4">
        <v>0</v>
      </c>
      <c r="AD124" s="4"/>
      <c r="AE124" s="54">
        <v>-2.3442745208740231E-2</v>
      </c>
      <c r="AF124" s="54">
        <v>-0.99947065114974976</v>
      </c>
    </row>
    <row r="125" spans="1:32" x14ac:dyDescent="0.2">
      <c r="A125" s="53" t="s">
        <v>2188</v>
      </c>
      <c r="B125" s="53" t="s">
        <v>2212</v>
      </c>
      <c r="C125" s="54" t="s">
        <v>3043</v>
      </c>
      <c r="D125" s="20" t="s">
        <v>794</v>
      </c>
      <c r="E125" s="9" t="s">
        <v>796</v>
      </c>
      <c r="F125" s="4" t="s">
        <v>795</v>
      </c>
      <c r="G125" s="12" t="s">
        <v>22</v>
      </c>
      <c r="H125" s="4">
        <v>35733</v>
      </c>
      <c r="I125" s="5">
        <f t="shared" si="6"/>
        <v>27902.25893277549</v>
      </c>
      <c r="J125" s="4">
        <v>3868</v>
      </c>
      <c r="K125" s="5">
        <f t="shared" si="7"/>
        <v>2088.2225436256572</v>
      </c>
      <c r="L125" s="5">
        <v>0</v>
      </c>
      <c r="M125" s="5">
        <v>0</v>
      </c>
      <c r="N125" s="4">
        <v>0</v>
      </c>
      <c r="O125" s="5">
        <f t="shared" si="8"/>
        <v>0</v>
      </c>
      <c r="P125" s="4">
        <v>0</v>
      </c>
      <c r="Q125" s="4">
        <v>1</v>
      </c>
      <c r="R125" s="4">
        <v>0</v>
      </c>
      <c r="S125" s="5">
        <f t="shared" si="9"/>
        <v>0.33333333333333331</v>
      </c>
      <c r="T125" s="5">
        <f t="shared" si="10"/>
        <v>7.4840626655238982E-2</v>
      </c>
      <c r="U125" s="5">
        <f t="shared" si="11"/>
        <v>4.4539089025652805</v>
      </c>
      <c r="V125" s="4">
        <v>-20</v>
      </c>
      <c r="W125" s="4">
        <v>-24</v>
      </c>
      <c r="X125" s="4">
        <v>-20</v>
      </c>
      <c r="Y125" s="4">
        <v>-13</v>
      </c>
      <c r="Z125" s="4">
        <v>0</v>
      </c>
      <c r="AA125" s="4">
        <v>0</v>
      </c>
      <c r="AB125" s="4">
        <v>0</v>
      </c>
      <c r="AC125" s="4">
        <v>0</v>
      </c>
      <c r="AD125" s="4"/>
      <c r="AE125" s="54">
        <v>-1.124143600463867E-3</v>
      </c>
      <c r="AF125" s="54">
        <v>-0.73794448375701904</v>
      </c>
    </row>
    <row r="126" spans="1:32" x14ac:dyDescent="0.2">
      <c r="A126" s="53" t="s">
        <v>2243</v>
      </c>
      <c r="B126" s="53" t="s">
        <v>2308</v>
      </c>
      <c r="C126" s="54" t="s">
        <v>3392</v>
      </c>
      <c r="D126" s="13" t="s">
        <v>885</v>
      </c>
      <c r="E126" s="4" t="s">
        <v>887</v>
      </c>
      <c r="F126" s="4" t="s">
        <v>886</v>
      </c>
      <c r="G126" s="4" t="s">
        <v>81</v>
      </c>
      <c r="H126" s="4">
        <v>3527</v>
      </c>
      <c r="I126" s="5">
        <f t="shared" si="6"/>
        <v>2754.072349254167</v>
      </c>
      <c r="J126" s="4">
        <v>806</v>
      </c>
      <c r="K126" s="5">
        <f t="shared" si="7"/>
        <v>435.13634182065147</v>
      </c>
      <c r="L126" s="5">
        <v>0</v>
      </c>
      <c r="M126" s="5">
        <v>0</v>
      </c>
      <c r="N126" s="4">
        <v>0</v>
      </c>
      <c r="O126" s="5">
        <f t="shared" si="8"/>
        <v>0</v>
      </c>
      <c r="P126" s="4">
        <v>0</v>
      </c>
      <c r="Q126" s="4">
        <v>0</v>
      </c>
      <c r="R126" s="4">
        <v>1</v>
      </c>
      <c r="S126" s="5">
        <f t="shared" si="9"/>
        <v>0.33333333333333331</v>
      </c>
      <c r="T126" s="5">
        <f t="shared" si="10"/>
        <v>0.15799742586228396</v>
      </c>
      <c r="U126" s="5">
        <f t="shared" si="11"/>
        <v>2.1097390132411284</v>
      </c>
      <c r="V126" s="4">
        <v>-46</v>
      </c>
      <c r="W126" s="4">
        <v>-41</v>
      </c>
      <c r="X126" s="4">
        <v>3</v>
      </c>
      <c r="Y126" s="4">
        <v>-1</v>
      </c>
      <c r="Z126" s="4">
        <v>0</v>
      </c>
      <c r="AA126" s="4">
        <v>0</v>
      </c>
      <c r="AB126" s="4">
        <v>0</v>
      </c>
      <c r="AC126" s="4">
        <v>0</v>
      </c>
      <c r="AD126" s="4"/>
      <c r="AE126" s="54">
        <v>1.665830612182617E-3</v>
      </c>
      <c r="AF126" s="54">
        <v>0.83002185821533203</v>
      </c>
    </row>
    <row r="127" spans="1:32" x14ac:dyDescent="0.2">
      <c r="A127" s="53" t="s">
        <v>2549</v>
      </c>
      <c r="B127" s="53" t="s">
        <v>2552</v>
      </c>
      <c r="C127" s="54" t="s">
        <v>3094</v>
      </c>
      <c r="D127" s="13" t="s">
        <v>1350</v>
      </c>
      <c r="E127" s="4" t="s">
        <v>1352</v>
      </c>
      <c r="F127" s="4" t="s">
        <v>1351</v>
      </c>
      <c r="G127" s="4" t="s">
        <v>401</v>
      </c>
      <c r="H127" s="4">
        <v>194</v>
      </c>
      <c r="I127" s="5">
        <f t="shared" si="6"/>
        <v>151.48569202021787</v>
      </c>
      <c r="J127" s="4">
        <v>2002</v>
      </c>
      <c r="K127" s="5">
        <f t="shared" si="7"/>
        <v>1080.8225264577472</v>
      </c>
      <c r="L127" s="5">
        <v>0</v>
      </c>
      <c r="M127" s="5">
        <v>6</v>
      </c>
      <c r="N127" s="5">
        <v>0</v>
      </c>
      <c r="O127" s="5">
        <f t="shared" si="8"/>
        <v>2</v>
      </c>
      <c r="P127" s="4">
        <v>16</v>
      </c>
      <c r="Q127" s="4">
        <v>96</v>
      </c>
      <c r="R127" s="4">
        <v>17</v>
      </c>
      <c r="S127" s="5">
        <f t="shared" si="9"/>
        <v>43</v>
      </c>
      <c r="T127" s="5">
        <f t="shared" si="10"/>
        <v>7.134815915905091</v>
      </c>
      <c r="U127" s="5">
        <f t="shared" si="11"/>
        <v>2.0089282613979074</v>
      </c>
      <c r="V127" s="4">
        <v>-45</v>
      </c>
      <c r="W127" s="4">
        <v>32</v>
      </c>
      <c r="X127" s="4">
        <v>1</v>
      </c>
      <c r="Y127" s="4">
        <v>15</v>
      </c>
      <c r="Z127" s="4">
        <v>0</v>
      </c>
      <c r="AA127" s="4">
        <v>0</v>
      </c>
      <c r="AB127" s="4">
        <v>0</v>
      </c>
      <c r="AC127" s="4">
        <v>0</v>
      </c>
      <c r="AD127" s="4"/>
      <c r="AE127" s="54">
        <v>-1.432299613952637E-4</v>
      </c>
      <c r="AF127" s="54">
        <v>-0.2484796196222305</v>
      </c>
    </row>
    <row r="128" spans="1:32" x14ac:dyDescent="0.2">
      <c r="A128" s="53" t="s">
        <v>2243</v>
      </c>
      <c r="B128" s="53" t="s">
        <v>2371</v>
      </c>
      <c r="C128" s="54" t="s">
        <v>3341</v>
      </c>
      <c r="D128" s="13" t="s">
        <v>1259</v>
      </c>
      <c r="E128" s="4" t="s">
        <v>1261</v>
      </c>
      <c r="F128" s="4" t="s">
        <v>1260</v>
      </c>
      <c r="G128" s="4" t="s">
        <v>164</v>
      </c>
      <c r="H128" s="4">
        <v>1144</v>
      </c>
      <c r="I128" s="5">
        <f t="shared" si="6"/>
        <v>893.2970704697384</v>
      </c>
      <c r="J128" s="4">
        <v>457</v>
      </c>
      <c r="K128" s="5">
        <f t="shared" si="7"/>
        <v>246.72122606952573</v>
      </c>
      <c r="L128" s="5">
        <v>0</v>
      </c>
      <c r="M128" s="5">
        <v>0</v>
      </c>
      <c r="N128" s="4">
        <v>0</v>
      </c>
      <c r="O128" s="5">
        <f t="shared" si="8"/>
        <v>0</v>
      </c>
      <c r="P128" s="4">
        <v>0</v>
      </c>
      <c r="Q128" s="4">
        <v>0</v>
      </c>
      <c r="R128" s="4">
        <v>1</v>
      </c>
      <c r="S128" s="5">
        <f t="shared" si="9"/>
        <v>0.33333333333333331</v>
      </c>
      <c r="T128" s="5">
        <f t="shared" si="10"/>
        <v>0.27619168832579727</v>
      </c>
      <c r="U128" s="5">
        <f t="shared" si="11"/>
        <v>1.2068912549610524</v>
      </c>
      <c r="V128" s="4">
        <v>18</v>
      </c>
      <c r="W128" s="4">
        <v>-5</v>
      </c>
      <c r="X128" s="4">
        <v>1</v>
      </c>
      <c r="Y128" s="4">
        <v>19</v>
      </c>
      <c r="Z128" s="4">
        <v>0</v>
      </c>
      <c r="AA128" s="4">
        <v>0</v>
      </c>
      <c r="AB128" s="4">
        <v>0</v>
      </c>
      <c r="AC128" s="4">
        <v>0</v>
      </c>
      <c r="AD128" s="4"/>
      <c r="AE128" s="54">
        <v>-2.8252601623535161E-3</v>
      </c>
      <c r="AF128" s="54">
        <v>-0.93488073348999023</v>
      </c>
    </row>
    <row r="129" spans="1:32" x14ac:dyDescent="0.2">
      <c r="A129" s="53" t="s">
        <v>2787</v>
      </c>
      <c r="B129" s="53" t="s">
        <v>2829</v>
      </c>
      <c r="C129" s="54" t="s">
        <v>3518</v>
      </c>
      <c r="D129" s="13" t="s">
        <v>1183</v>
      </c>
      <c r="E129" s="4" t="s">
        <v>1185</v>
      </c>
      <c r="F129" s="4" t="s">
        <v>1184</v>
      </c>
      <c r="G129" s="4" t="s">
        <v>132</v>
      </c>
      <c r="H129" s="4">
        <v>10413</v>
      </c>
      <c r="I129" s="5">
        <f t="shared" si="6"/>
        <v>8131.0335618893223</v>
      </c>
      <c r="J129" s="4">
        <v>4814</v>
      </c>
      <c r="K129" s="5">
        <f t="shared" si="7"/>
        <v>2598.9408803034944</v>
      </c>
      <c r="L129" s="5">
        <v>0</v>
      </c>
      <c r="M129" s="5">
        <v>0</v>
      </c>
      <c r="N129" s="4">
        <v>0</v>
      </c>
      <c r="O129" s="5">
        <f t="shared" si="8"/>
        <v>0</v>
      </c>
      <c r="P129" s="4">
        <v>0</v>
      </c>
      <c r="Q129" s="4">
        <v>1</v>
      </c>
      <c r="R129" s="4">
        <v>0</v>
      </c>
      <c r="S129" s="5">
        <f t="shared" si="9"/>
        <v>0.33333333333333331</v>
      </c>
      <c r="T129" s="5">
        <f t="shared" si="10"/>
        <v>0.31963229035050322</v>
      </c>
      <c r="U129" s="5">
        <f t="shared" si="11"/>
        <v>1.0428650151954477</v>
      </c>
      <c r="V129" s="4">
        <v>39</v>
      </c>
      <c r="W129" s="4">
        <v>2</v>
      </c>
      <c r="X129" s="4">
        <v>20</v>
      </c>
      <c r="Y129" s="4">
        <v>2</v>
      </c>
      <c r="Z129" s="4">
        <v>0</v>
      </c>
      <c r="AA129" s="4">
        <v>0</v>
      </c>
      <c r="AB129" s="4">
        <v>0</v>
      </c>
      <c r="AC129" s="4">
        <v>0</v>
      </c>
      <c r="AD129" s="4"/>
      <c r="AE129" s="54">
        <v>-9.1731548309326172E-5</v>
      </c>
      <c r="AF129" s="54">
        <v>-0.26999989151954651</v>
      </c>
    </row>
    <row r="130" spans="1:32" x14ac:dyDescent="0.2">
      <c r="A130" s="53" t="s">
        <v>2243</v>
      </c>
      <c r="B130" s="53" t="s">
        <v>2365</v>
      </c>
      <c r="C130" s="54" t="s">
        <v>3332</v>
      </c>
      <c r="D130" s="13" t="s">
        <v>35</v>
      </c>
      <c r="E130" s="4" t="s">
        <v>37</v>
      </c>
      <c r="F130" s="4" t="s">
        <v>36</v>
      </c>
      <c r="G130" s="23" t="s">
        <v>293</v>
      </c>
      <c r="H130" s="4">
        <v>2167</v>
      </c>
      <c r="I130" s="5">
        <f t="shared" ref="I130:I193" si="12">H130/H$677*1000000</f>
        <v>1692.1107969474851</v>
      </c>
      <c r="J130" s="4">
        <v>1008</v>
      </c>
      <c r="K130" s="5">
        <f t="shared" ref="K130:K193" si="13">J130/J$677*1000000</f>
        <v>544.19036297173295</v>
      </c>
      <c r="L130" s="5">
        <v>0</v>
      </c>
      <c r="M130" s="5">
        <v>0</v>
      </c>
      <c r="N130" s="4">
        <v>0</v>
      </c>
      <c r="O130" s="5">
        <f t="shared" ref="O130:O193" si="14">AVERAGE(L130:N130)</f>
        <v>0</v>
      </c>
      <c r="P130" s="4">
        <v>0</v>
      </c>
      <c r="Q130" s="4">
        <v>1</v>
      </c>
      <c r="R130" s="4">
        <v>0</v>
      </c>
      <c r="S130" s="5">
        <f t="shared" ref="S130:S193" si="15">AVERAGE(P130:R130)</f>
        <v>0.33333333333333331</v>
      </c>
      <c r="T130" s="5">
        <f t="shared" ref="T130:T193" si="16">K130/I130</f>
        <v>0.32160445046118452</v>
      </c>
      <c r="U130" s="5">
        <f t="shared" ref="U130:U193" si="17">S130/((O130+1)*T130)</f>
        <v>1.036469902252066</v>
      </c>
      <c r="V130" s="4">
        <v>39</v>
      </c>
      <c r="W130" s="4">
        <v>-44</v>
      </c>
      <c r="X130" s="4">
        <v>39</v>
      </c>
      <c r="Y130" s="4">
        <v>-43</v>
      </c>
      <c r="Z130" s="4">
        <v>0</v>
      </c>
      <c r="AA130" s="4">
        <v>0</v>
      </c>
      <c r="AB130" s="4" t="s">
        <v>21</v>
      </c>
      <c r="AC130" s="4" t="s">
        <v>21</v>
      </c>
      <c r="AD130" s="4"/>
      <c r="AE130" s="54">
        <v>-8.934473991394043E-2</v>
      </c>
      <c r="AF130" s="54">
        <v>-0.99993515014648438</v>
      </c>
    </row>
    <row r="131" spans="1:32" x14ac:dyDescent="0.2">
      <c r="A131" s="53" t="s">
        <v>2243</v>
      </c>
      <c r="B131" s="53" t="s">
        <v>2349</v>
      </c>
      <c r="C131" s="54" t="s">
        <v>3366</v>
      </c>
      <c r="D131" s="13" t="s">
        <v>936</v>
      </c>
      <c r="E131" s="4" t="s">
        <v>938</v>
      </c>
      <c r="F131" s="4" t="s">
        <v>937</v>
      </c>
      <c r="G131" s="17" t="s">
        <v>198</v>
      </c>
      <c r="H131" s="4">
        <v>1055</v>
      </c>
      <c r="I131" s="5">
        <f t="shared" si="12"/>
        <v>823.80105712025693</v>
      </c>
      <c r="J131" s="4">
        <v>1064</v>
      </c>
      <c r="K131" s="5">
        <f t="shared" si="13"/>
        <v>574.42316091460691</v>
      </c>
      <c r="L131" s="5">
        <v>0</v>
      </c>
      <c r="M131" s="5">
        <v>0</v>
      </c>
      <c r="N131" s="4">
        <v>0</v>
      </c>
      <c r="O131" s="5">
        <f t="shared" si="14"/>
        <v>0</v>
      </c>
      <c r="P131" s="4">
        <v>2</v>
      </c>
      <c r="Q131" s="4">
        <v>0</v>
      </c>
      <c r="R131" s="4">
        <v>0</v>
      </c>
      <c r="S131" s="5">
        <f t="shared" si="15"/>
        <v>0.66666666666666663</v>
      </c>
      <c r="T131" s="5">
        <f t="shared" si="16"/>
        <v>0.69728383564182983</v>
      </c>
      <c r="U131" s="5">
        <f t="shared" si="17"/>
        <v>0.95609080920830325</v>
      </c>
      <c r="V131" s="4">
        <v>-32</v>
      </c>
      <c r="W131" s="4">
        <v>-9</v>
      </c>
      <c r="X131" s="4">
        <v>-32</v>
      </c>
      <c r="Y131" s="4">
        <v>7</v>
      </c>
      <c r="Z131" s="4">
        <v>0</v>
      </c>
      <c r="AA131" s="4">
        <v>0</v>
      </c>
      <c r="AB131" s="4">
        <v>0</v>
      </c>
      <c r="AC131" s="4">
        <v>0</v>
      </c>
      <c r="AD131" s="4"/>
      <c r="AE131" s="54">
        <v>5.1016807556152344E-3</v>
      </c>
      <c r="AF131" s="54">
        <v>0.98841118812561035</v>
      </c>
    </row>
    <row r="132" spans="1:32" x14ac:dyDescent="0.2">
      <c r="A132" s="53" t="s">
        <v>2243</v>
      </c>
      <c r="B132" s="53" t="s">
        <v>2525</v>
      </c>
      <c r="C132" s="54" t="s">
        <v>3184</v>
      </c>
      <c r="D132" s="13" t="s">
        <v>1298</v>
      </c>
      <c r="E132" s="4" t="s">
        <v>1300</v>
      </c>
      <c r="F132" s="4" t="s">
        <v>1299</v>
      </c>
      <c r="G132" s="4" t="s">
        <v>365</v>
      </c>
      <c r="H132" s="4">
        <v>6056</v>
      </c>
      <c r="I132" s="5">
        <f t="shared" si="12"/>
        <v>4728.852324095049</v>
      </c>
      <c r="J132" s="4">
        <v>3076</v>
      </c>
      <c r="K132" s="5">
        <f t="shared" si="13"/>
        <v>1660.6444012907245</v>
      </c>
      <c r="L132" s="5">
        <v>0</v>
      </c>
      <c r="M132" s="5">
        <v>0</v>
      </c>
      <c r="N132" s="4">
        <v>0</v>
      </c>
      <c r="O132" s="5">
        <f t="shared" si="14"/>
        <v>0</v>
      </c>
      <c r="P132" s="4">
        <v>1</v>
      </c>
      <c r="Q132" s="4">
        <v>0</v>
      </c>
      <c r="R132" s="4">
        <v>0</v>
      </c>
      <c r="S132" s="5">
        <f t="shared" si="15"/>
        <v>0.33333333333333331</v>
      </c>
      <c r="T132" s="5">
        <f t="shared" si="16"/>
        <v>0.35117281900075381</v>
      </c>
      <c r="U132" s="5">
        <f t="shared" si="17"/>
        <v>0.94920026635836474</v>
      </c>
      <c r="V132" s="4">
        <v>32</v>
      </c>
      <c r="W132" s="4">
        <v>33</v>
      </c>
      <c r="X132" s="4">
        <v>11</v>
      </c>
      <c r="Y132" s="4">
        <v>33</v>
      </c>
      <c r="Z132" s="4">
        <v>0</v>
      </c>
      <c r="AA132" s="4">
        <v>0</v>
      </c>
      <c r="AB132" s="4">
        <v>0</v>
      </c>
      <c r="AC132" s="4">
        <v>0</v>
      </c>
      <c r="AD132" s="4"/>
      <c r="AE132" s="54">
        <v>9.4842910766601562E-4</v>
      </c>
      <c r="AF132" s="54">
        <v>0.66821938753128052</v>
      </c>
    </row>
    <row r="133" spans="1:32" x14ac:dyDescent="0.2">
      <c r="A133" s="53" t="s">
        <v>2683</v>
      </c>
      <c r="B133" s="53" t="s">
        <v>2685</v>
      </c>
      <c r="C133" s="54" t="s">
        <v>2908</v>
      </c>
      <c r="D133" s="13" t="s">
        <v>581</v>
      </c>
      <c r="E133" s="4" t="s">
        <v>583</v>
      </c>
      <c r="F133" s="4" t="s">
        <v>582</v>
      </c>
      <c r="G133" s="15" t="s">
        <v>188</v>
      </c>
      <c r="H133" s="4">
        <v>3642</v>
      </c>
      <c r="I133" s="5">
        <f t="shared" si="12"/>
        <v>2843.8705687506881</v>
      </c>
      <c r="J133" s="4">
        <v>4272</v>
      </c>
      <c r="K133" s="5">
        <f t="shared" si="13"/>
        <v>2306.3305859278203</v>
      </c>
      <c r="L133" s="5">
        <v>0</v>
      </c>
      <c r="M133" s="5">
        <v>0</v>
      </c>
      <c r="N133" s="4">
        <v>0</v>
      </c>
      <c r="O133" s="5">
        <f t="shared" si="14"/>
        <v>0</v>
      </c>
      <c r="P133" s="4">
        <v>0</v>
      </c>
      <c r="Q133" s="4">
        <v>2</v>
      </c>
      <c r="R133" s="4">
        <v>0</v>
      </c>
      <c r="S133" s="5">
        <f t="shared" si="15"/>
        <v>0.66666666666666663</v>
      </c>
      <c r="T133" s="5">
        <f t="shared" si="16"/>
        <v>0.81098296500216283</v>
      </c>
      <c r="U133" s="5">
        <f t="shared" si="17"/>
        <v>0.82204768217898228</v>
      </c>
      <c r="V133" s="4" t="s">
        <v>21</v>
      </c>
      <c r="W133" s="4" t="s">
        <v>21</v>
      </c>
      <c r="X133" s="4" t="s">
        <v>21</v>
      </c>
      <c r="Y133" s="4" t="s">
        <v>21</v>
      </c>
      <c r="Z133" s="10">
        <v>0</v>
      </c>
      <c r="AA133" s="10">
        <v>0</v>
      </c>
      <c r="AB133" s="10">
        <v>0</v>
      </c>
      <c r="AC133" s="10">
        <v>0</v>
      </c>
      <c r="AD133" s="4"/>
      <c r="AE133" s="54">
        <v>4.6253204345703118E-5</v>
      </c>
      <c r="AF133" s="54">
        <v>0.14885358512401581</v>
      </c>
    </row>
    <row r="134" spans="1:32" x14ac:dyDescent="0.2">
      <c r="A134" s="53" t="s">
        <v>2188</v>
      </c>
      <c r="B134" s="53" t="s">
        <v>2193</v>
      </c>
      <c r="C134" s="54" t="s">
        <v>3045</v>
      </c>
      <c r="D134" s="20" t="s">
        <v>428</v>
      </c>
      <c r="E134" s="9" t="s">
        <v>430</v>
      </c>
      <c r="F134" s="4" t="s">
        <v>429</v>
      </c>
      <c r="G134" s="12" t="s">
        <v>22</v>
      </c>
      <c r="H134" s="4">
        <v>2093</v>
      </c>
      <c r="I134" s="5">
        <f t="shared" si="12"/>
        <v>1634.3275948366804</v>
      </c>
      <c r="J134" s="4">
        <v>1282</v>
      </c>
      <c r="K134" s="5">
        <f t="shared" si="13"/>
        <v>692.11512433508096</v>
      </c>
      <c r="L134" s="5">
        <v>0</v>
      </c>
      <c r="M134" s="5">
        <v>0</v>
      </c>
      <c r="N134" s="4">
        <v>0</v>
      </c>
      <c r="O134" s="5">
        <f t="shared" si="14"/>
        <v>0</v>
      </c>
      <c r="P134" s="4">
        <v>0</v>
      </c>
      <c r="Q134" s="4">
        <v>0</v>
      </c>
      <c r="R134" s="4">
        <v>1</v>
      </c>
      <c r="S134" s="5">
        <f t="shared" si="15"/>
        <v>0.33333333333333331</v>
      </c>
      <c r="T134" s="5">
        <f t="shared" si="16"/>
        <v>0.42348616429268854</v>
      </c>
      <c r="U134" s="5">
        <f t="shared" si="17"/>
        <v>0.78711741123838241</v>
      </c>
      <c r="V134" s="4">
        <v>-48</v>
      </c>
      <c r="W134" s="4">
        <v>15</v>
      </c>
      <c r="X134" s="4">
        <v>34</v>
      </c>
      <c r="Y134" s="4">
        <v>-7</v>
      </c>
      <c r="Z134" s="4">
        <v>0</v>
      </c>
      <c r="AA134" s="4">
        <v>0</v>
      </c>
      <c r="AB134" s="4">
        <v>0</v>
      </c>
      <c r="AC134" s="4">
        <v>0</v>
      </c>
      <c r="AD134" s="4"/>
      <c r="AE134" s="54">
        <v>-1.010894775390625E-3</v>
      </c>
      <c r="AF134" s="54">
        <v>-0.71053868532180786</v>
      </c>
    </row>
    <row r="135" spans="1:32" x14ac:dyDescent="0.2">
      <c r="A135" s="53" t="s">
        <v>2130</v>
      </c>
      <c r="B135" s="53" t="s">
        <v>2164</v>
      </c>
      <c r="C135" s="54" t="s">
        <v>3174</v>
      </c>
      <c r="D135" s="13" t="s">
        <v>2084</v>
      </c>
      <c r="E135" s="4" t="s">
        <v>2086</v>
      </c>
      <c r="F135" s="4" t="s">
        <v>2085</v>
      </c>
      <c r="G135" s="4" t="s">
        <v>77</v>
      </c>
      <c r="H135" s="4">
        <v>1214</v>
      </c>
      <c r="I135" s="5">
        <f t="shared" si="12"/>
        <v>947.95685625022941</v>
      </c>
      <c r="J135" s="4">
        <v>818</v>
      </c>
      <c r="K135" s="5">
        <f t="shared" si="13"/>
        <v>441.61479852269593</v>
      </c>
      <c r="L135" s="5">
        <v>0</v>
      </c>
      <c r="M135" s="5">
        <v>0</v>
      </c>
      <c r="N135" s="4">
        <v>0</v>
      </c>
      <c r="O135" s="5">
        <f t="shared" si="14"/>
        <v>0</v>
      </c>
      <c r="P135" s="4">
        <v>0</v>
      </c>
      <c r="Q135" s="4">
        <v>1</v>
      </c>
      <c r="R135" s="4">
        <v>0</v>
      </c>
      <c r="S135" s="5">
        <f t="shared" si="15"/>
        <v>0.33333333333333331</v>
      </c>
      <c r="T135" s="5">
        <f t="shared" si="16"/>
        <v>0.46585959646893904</v>
      </c>
      <c r="U135" s="5">
        <f t="shared" si="17"/>
        <v>0.71552316590640019</v>
      </c>
      <c r="V135" s="4">
        <v>21</v>
      </c>
      <c r="W135" s="4">
        <v>24</v>
      </c>
      <c r="X135" s="4">
        <v>21</v>
      </c>
      <c r="Y135" s="4">
        <v>-7</v>
      </c>
      <c r="Z135" s="4">
        <v>0</v>
      </c>
      <c r="AA135" s="4">
        <v>0</v>
      </c>
      <c r="AB135" s="4">
        <v>0</v>
      </c>
      <c r="AC135" s="4">
        <v>0</v>
      </c>
      <c r="AD135" s="4"/>
      <c r="AE135" s="54">
        <v>8.5115432739257812E-5</v>
      </c>
      <c r="AF135" s="54">
        <v>0.26999989151954651</v>
      </c>
    </row>
    <row r="136" spans="1:32" x14ac:dyDescent="0.2">
      <c r="A136" s="53" t="s">
        <v>2130</v>
      </c>
      <c r="B136" s="53" t="s">
        <v>2150</v>
      </c>
      <c r="C136" s="54" t="s">
        <v>3162</v>
      </c>
      <c r="D136" s="20" t="s">
        <v>708</v>
      </c>
      <c r="E136" s="9" t="s">
        <v>710</v>
      </c>
      <c r="F136" s="4" t="s">
        <v>709</v>
      </c>
      <c r="G136" s="4" t="s">
        <v>111</v>
      </c>
      <c r="H136" s="4">
        <v>1856</v>
      </c>
      <c r="I136" s="5">
        <f t="shared" si="12"/>
        <v>1449.2651772655895</v>
      </c>
      <c r="J136" s="4">
        <v>4363</v>
      </c>
      <c r="K136" s="5">
        <f t="shared" si="13"/>
        <v>2355.4588825849905</v>
      </c>
      <c r="L136" s="5">
        <v>0</v>
      </c>
      <c r="M136" s="5">
        <v>0</v>
      </c>
      <c r="N136" s="4">
        <v>0</v>
      </c>
      <c r="O136" s="5">
        <f t="shared" si="14"/>
        <v>0</v>
      </c>
      <c r="P136" s="4">
        <v>0</v>
      </c>
      <c r="Q136" s="4">
        <v>0</v>
      </c>
      <c r="R136" s="4">
        <v>3</v>
      </c>
      <c r="S136" s="5">
        <f t="shared" si="15"/>
        <v>1</v>
      </c>
      <c r="T136" s="5">
        <f t="shared" si="16"/>
        <v>1.625278050928656</v>
      </c>
      <c r="U136" s="5">
        <f t="shared" si="17"/>
        <v>0.61527933600568663</v>
      </c>
      <c r="V136" s="4">
        <v>469</v>
      </c>
      <c r="W136" s="4" t="s">
        <v>21</v>
      </c>
      <c r="X136" s="4" t="s">
        <v>21</v>
      </c>
      <c r="Y136" s="4">
        <v>-21</v>
      </c>
      <c r="Z136" s="4">
        <v>0</v>
      </c>
      <c r="AA136" s="4">
        <v>0</v>
      </c>
      <c r="AB136" s="4">
        <v>0</v>
      </c>
      <c r="AC136" s="4">
        <v>0</v>
      </c>
      <c r="AD136" s="4"/>
      <c r="AE136" s="54">
        <v>-2.5725364685058588E-4</v>
      </c>
      <c r="AF136" s="54">
        <v>-0.40266996622085571</v>
      </c>
    </row>
    <row r="137" spans="1:32" x14ac:dyDescent="0.2">
      <c r="A137" s="53" t="s">
        <v>2844</v>
      </c>
      <c r="B137" s="53" t="s">
        <v>2845</v>
      </c>
      <c r="C137" s="54" t="s">
        <v>3122</v>
      </c>
      <c r="D137" s="8" t="s">
        <v>379</v>
      </c>
      <c r="E137" s="9" t="s">
        <v>381</v>
      </c>
      <c r="F137" s="9" t="s">
        <v>380</v>
      </c>
      <c r="G137" s="4" t="s">
        <v>2050</v>
      </c>
      <c r="H137" s="4">
        <v>4276</v>
      </c>
      <c r="I137" s="5">
        <f t="shared" si="12"/>
        <v>3338.9320571054209</v>
      </c>
      <c r="J137" s="4">
        <v>3408</v>
      </c>
      <c r="K137" s="5">
        <f t="shared" si="13"/>
        <v>1839.8817033806206</v>
      </c>
      <c r="L137" s="5">
        <v>0</v>
      </c>
      <c r="M137" s="5">
        <v>0</v>
      </c>
      <c r="N137" s="4">
        <v>0</v>
      </c>
      <c r="O137" s="5">
        <f t="shared" si="14"/>
        <v>0</v>
      </c>
      <c r="P137" s="4">
        <v>0</v>
      </c>
      <c r="Q137" s="4">
        <v>0</v>
      </c>
      <c r="R137" s="4">
        <v>1</v>
      </c>
      <c r="S137" s="5">
        <f t="shared" si="15"/>
        <v>0.33333333333333331</v>
      </c>
      <c r="T137" s="5">
        <f t="shared" si="16"/>
        <v>0.55103897650904776</v>
      </c>
      <c r="U137" s="5">
        <f t="shared" si="17"/>
        <v>0.60491788701603788</v>
      </c>
      <c r="V137" s="4" t="s">
        <v>21</v>
      </c>
      <c r="W137" s="4" t="s">
        <v>21</v>
      </c>
      <c r="X137" s="4">
        <v>-281</v>
      </c>
      <c r="Y137" s="4" t="s">
        <v>21</v>
      </c>
      <c r="Z137" s="4">
        <v>0</v>
      </c>
      <c r="AA137" s="4">
        <v>0</v>
      </c>
      <c r="AB137" s="4">
        <v>0</v>
      </c>
      <c r="AC137" s="4">
        <v>0</v>
      </c>
      <c r="AD137" s="4"/>
      <c r="AE137" s="54">
        <v>1.061797142028809E-3</v>
      </c>
      <c r="AF137" s="54">
        <v>0.72725653648376465</v>
      </c>
    </row>
    <row r="138" spans="1:32" x14ac:dyDescent="0.2">
      <c r="A138" s="53" t="s">
        <v>2243</v>
      </c>
      <c r="B138" s="53" t="s">
        <v>2275</v>
      </c>
      <c r="C138" s="54" t="s">
        <v>3431</v>
      </c>
      <c r="D138" s="13" t="s">
        <v>855</v>
      </c>
      <c r="E138" s="4" t="s">
        <v>857</v>
      </c>
      <c r="F138" s="4" t="s">
        <v>856</v>
      </c>
      <c r="G138" s="4" t="s">
        <v>54</v>
      </c>
      <c r="H138" s="4">
        <v>652</v>
      </c>
      <c r="I138" s="5">
        <f t="shared" si="12"/>
        <v>509.11686184114456</v>
      </c>
      <c r="J138" s="4">
        <v>1602</v>
      </c>
      <c r="K138" s="5">
        <f t="shared" si="13"/>
        <v>864.87396972293266</v>
      </c>
      <c r="L138" s="5">
        <v>0</v>
      </c>
      <c r="M138" s="5">
        <v>0</v>
      </c>
      <c r="N138" s="4">
        <v>0</v>
      </c>
      <c r="O138" s="5">
        <f t="shared" si="14"/>
        <v>0</v>
      </c>
      <c r="P138" s="4">
        <v>0</v>
      </c>
      <c r="Q138" s="4">
        <v>0</v>
      </c>
      <c r="R138" s="4">
        <v>3</v>
      </c>
      <c r="S138" s="5">
        <f t="shared" si="15"/>
        <v>1</v>
      </c>
      <c r="T138" s="5">
        <f t="shared" si="16"/>
        <v>1.6987729822878896</v>
      </c>
      <c r="U138" s="5">
        <f t="shared" si="17"/>
        <v>0.58866017438846385</v>
      </c>
      <c r="V138" s="4">
        <v>2</v>
      </c>
      <c r="W138" s="4">
        <v>35</v>
      </c>
      <c r="X138" s="4">
        <v>-10</v>
      </c>
      <c r="Y138" s="4">
        <v>35</v>
      </c>
      <c r="Z138" s="4">
        <v>0</v>
      </c>
      <c r="AA138" s="4">
        <v>0</v>
      </c>
      <c r="AB138" s="4">
        <v>0</v>
      </c>
      <c r="AC138" s="4">
        <v>0</v>
      </c>
      <c r="AD138" s="4"/>
      <c r="AE138" s="54">
        <v>3.349542617797852E-3</v>
      </c>
      <c r="AF138" s="54">
        <v>0.95845037698745728</v>
      </c>
    </row>
    <row r="139" spans="1:32" x14ac:dyDescent="0.2">
      <c r="A139" s="53" t="s">
        <v>2243</v>
      </c>
      <c r="B139" s="53" t="s">
        <v>2350</v>
      </c>
      <c r="C139" s="54" t="s">
        <v>3356</v>
      </c>
      <c r="D139" s="13" t="s">
        <v>1613</v>
      </c>
      <c r="E139" s="4" t="s">
        <v>1615</v>
      </c>
      <c r="F139" s="4" t="s">
        <v>1614</v>
      </c>
      <c r="G139" s="17" t="s">
        <v>198</v>
      </c>
      <c r="H139" s="4">
        <v>3011</v>
      </c>
      <c r="I139" s="5">
        <f t="shared" si="12"/>
        <v>2351.151642643691</v>
      </c>
      <c r="J139" s="4">
        <v>2913</v>
      </c>
      <c r="K139" s="5">
        <f t="shared" si="13"/>
        <v>1572.6453644212875</v>
      </c>
      <c r="L139" s="5">
        <v>0</v>
      </c>
      <c r="M139" s="5">
        <v>0</v>
      </c>
      <c r="N139" s="4">
        <v>0</v>
      </c>
      <c r="O139" s="5">
        <f t="shared" si="14"/>
        <v>0</v>
      </c>
      <c r="P139" s="4">
        <v>0</v>
      </c>
      <c r="Q139" s="4">
        <v>1</v>
      </c>
      <c r="R139" s="4">
        <v>0</v>
      </c>
      <c r="S139" s="5">
        <f t="shared" si="15"/>
        <v>0.33333333333333331</v>
      </c>
      <c r="T139" s="5">
        <f t="shared" si="16"/>
        <v>0.6688830000998861</v>
      </c>
      <c r="U139" s="5">
        <f t="shared" si="17"/>
        <v>0.49834325776489424</v>
      </c>
      <c r="V139" s="4">
        <v>30</v>
      </c>
      <c r="W139" s="4">
        <v>-2</v>
      </c>
      <c r="X139" s="4">
        <v>30</v>
      </c>
      <c r="Y139" s="4">
        <v>-1</v>
      </c>
      <c r="Z139" s="4">
        <v>0</v>
      </c>
      <c r="AA139" s="4">
        <v>0</v>
      </c>
      <c r="AB139" s="4">
        <v>0</v>
      </c>
      <c r="AC139" s="4">
        <v>0</v>
      </c>
      <c r="AD139" s="4"/>
      <c r="AE139" s="54">
        <v>9.0646743774414062E-3</v>
      </c>
      <c r="AF139" s="54">
        <v>0.99793648719787598</v>
      </c>
    </row>
    <row r="140" spans="1:32" x14ac:dyDescent="0.2">
      <c r="A140" s="53" t="s">
        <v>2683</v>
      </c>
      <c r="B140" s="53" t="s">
        <v>2748</v>
      </c>
      <c r="C140" s="54" t="s">
        <v>2940</v>
      </c>
      <c r="D140" s="13" t="s">
        <v>98</v>
      </c>
      <c r="E140" s="4" t="s">
        <v>100</v>
      </c>
      <c r="F140" s="4" t="s">
        <v>99</v>
      </c>
      <c r="G140" s="4" t="s">
        <v>46</v>
      </c>
      <c r="H140" s="4">
        <v>1329</v>
      </c>
      <c r="I140" s="5">
        <f t="shared" si="12"/>
        <v>1037.7550757467502</v>
      </c>
      <c r="J140" s="4">
        <v>2769</v>
      </c>
      <c r="K140" s="5">
        <f t="shared" si="13"/>
        <v>1494.9038839967543</v>
      </c>
      <c r="L140" s="5">
        <v>0</v>
      </c>
      <c r="M140" s="5">
        <v>0</v>
      </c>
      <c r="N140" s="4">
        <v>0</v>
      </c>
      <c r="O140" s="5">
        <f t="shared" si="14"/>
        <v>0</v>
      </c>
      <c r="P140" s="4">
        <v>0</v>
      </c>
      <c r="Q140" s="4">
        <v>2</v>
      </c>
      <c r="R140" s="4">
        <v>0</v>
      </c>
      <c r="S140" s="5">
        <f t="shared" si="15"/>
        <v>0.66666666666666663</v>
      </c>
      <c r="T140" s="5">
        <f t="shared" si="16"/>
        <v>1.4405170535263805</v>
      </c>
      <c r="U140" s="5">
        <f t="shared" si="17"/>
        <v>0.46279678885763209</v>
      </c>
      <c r="V140" s="4">
        <v>26</v>
      </c>
      <c r="W140" s="4">
        <v>-24</v>
      </c>
      <c r="X140" s="4">
        <v>-3</v>
      </c>
      <c r="Y140" s="4">
        <v>21</v>
      </c>
      <c r="Z140" s="4">
        <v>0</v>
      </c>
      <c r="AA140" s="4">
        <v>0</v>
      </c>
      <c r="AB140" s="4">
        <v>0.01</v>
      </c>
      <c r="AC140" s="4">
        <v>0</v>
      </c>
      <c r="AD140" s="4"/>
      <c r="AE140" s="54">
        <v>7.3504447937011719E-4</v>
      </c>
      <c r="AF140" s="54">
        <v>0.59192442893981934</v>
      </c>
    </row>
    <row r="141" spans="1:32" x14ac:dyDescent="0.2">
      <c r="A141" s="53" t="s">
        <v>2683</v>
      </c>
      <c r="B141" s="53" t="s">
        <v>2724</v>
      </c>
      <c r="C141" s="54" t="s">
        <v>2963</v>
      </c>
      <c r="D141" s="13" t="s">
        <v>605</v>
      </c>
      <c r="E141" s="4" t="s">
        <v>607</v>
      </c>
      <c r="F141" s="4" t="s">
        <v>606</v>
      </c>
      <c r="G141" s="4" t="s">
        <v>42</v>
      </c>
      <c r="H141" s="4">
        <v>1639</v>
      </c>
      <c r="I141" s="5">
        <f t="shared" si="12"/>
        <v>1279.8198413460675</v>
      </c>
      <c r="J141" s="4">
        <v>1717</v>
      </c>
      <c r="K141" s="5">
        <f t="shared" si="13"/>
        <v>926.95917978419186</v>
      </c>
      <c r="L141" s="5">
        <v>0</v>
      </c>
      <c r="M141" s="5">
        <v>0</v>
      </c>
      <c r="N141" s="4">
        <v>0</v>
      </c>
      <c r="O141" s="5">
        <f t="shared" si="14"/>
        <v>0</v>
      </c>
      <c r="P141" s="4">
        <v>0</v>
      </c>
      <c r="Q141" s="4">
        <v>0</v>
      </c>
      <c r="R141" s="4">
        <v>1</v>
      </c>
      <c r="S141" s="5">
        <f t="shared" si="15"/>
        <v>0.33333333333333331</v>
      </c>
      <c r="T141" s="5">
        <f t="shared" si="16"/>
        <v>0.72428880209362145</v>
      </c>
      <c r="U141" s="5">
        <f t="shared" si="17"/>
        <v>0.46022157510899458</v>
      </c>
      <c r="V141" s="4">
        <v>6</v>
      </c>
      <c r="W141" s="4">
        <v>2</v>
      </c>
      <c r="X141" s="4">
        <v>-44</v>
      </c>
      <c r="Y141" s="4">
        <v>2</v>
      </c>
      <c r="Z141" s="4">
        <v>0</v>
      </c>
      <c r="AA141" s="4">
        <v>0</v>
      </c>
      <c r="AB141" s="4">
        <v>0</v>
      </c>
      <c r="AC141" s="4">
        <v>0</v>
      </c>
      <c r="AD141" s="4"/>
      <c r="AE141" s="54">
        <v>-4.8875808715820312E-5</v>
      </c>
      <c r="AF141" s="54">
        <v>-0.13755430281162259</v>
      </c>
    </row>
    <row r="142" spans="1:32" x14ac:dyDescent="0.2">
      <c r="A142" s="53" t="s">
        <v>2243</v>
      </c>
      <c r="B142" s="53" t="s">
        <v>2249</v>
      </c>
      <c r="C142" s="54" t="s">
        <v>3454</v>
      </c>
      <c r="D142" s="13" t="s">
        <v>825</v>
      </c>
      <c r="E142" s="4" t="s">
        <v>827</v>
      </c>
      <c r="F142" s="4" t="s">
        <v>826</v>
      </c>
      <c r="G142" s="4" t="s">
        <v>427</v>
      </c>
      <c r="H142" s="4">
        <v>3023</v>
      </c>
      <c r="I142" s="5">
        <f t="shared" si="12"/>
        <v>2360.5218916346321</v>
      </c>
      <c r="J142" s="4">
        <v>3442</v>
      </c>
      <c r="K142" s="5">
        <f t="shared" si="13"/>
        <v>1858.23733070308</v>
      </c>
      <c r="L142" s="5">
        <v>0</v>
      </c>
      <c r="M142" s="5">
        <v>0</v>
      </c>
      <c r="N142" s="4">
        <v>0</v>
      </c>
      <c r="O142" s="5">
        <f t="shared" si="14"/>
        <v>0</v>
      </c>
      <c r="P142" s="4">
        <v>0</v>
      </c>
      <c r="Q142" s="4">
        <v>1</v>
      </c>
      <c r="R142" s="4">
        <v>0</v>
      </c>
      <c r="S142" s="5">
        <f t="shared" si="15"/>
        <v>0.33333333333333331</v>
      </c>
      <c r="T142" s="5">
        <f t="shared" si="16"/>
        <v>0.78721461439879881</v>
      </c>
      <c r="U142" s="5">
        <f t="shared" si="17"/>
        <v>0.42343387335091875</v>
      </c>
      <c r="V142" s="4">
        <v>2</v>
      </c>
      <c r="W142" s="4">
        <v>38</v>
      </c>
      <c r="X142" s="4">
        <v>50</v>
      </c>
      <c r="Y142" s="4">
        <v>-21</v>
      </c>
      <c r="Z142" s="4">
        <v>0</v>
      </c>
      <c r="AA142" s="4">
        <v>0</v>
      </c>
      <c r="AB142" s="4">
        <v>0</v>
      </c>
      <c r="AC142" s="4">
        <v>0.02</v>
      </c>
      <c r="AD142" s="4"/>
      <c r="AE142" s="54">
        <v>6.4349174499511719E-4</v>
      </c>
      <c r="AF142" s="54">
        <v>0.56112885475158691</v>
      </c>
    </row>
    <row r="143" spans="1:32" x14ac:dyDescent="0.2">
      <c r="A143" s="53" t="s">
        <v>2243</v>
      </c>
      <c r="B143" s="53" t="s">
        <v>2465</v>
      </c>
      <c r="C143" s="54" t="s">
        <v>3240</v>
      </c>
      <c r="D143" s="13" t="s">
        <v>1019</v>
      </c>
      <c r="E143" s="4" t="s">
        <v>1021</v>
      </c>
      <c r="F143" s="4" t="s">
        <v>1020</v>
      </c>
      <c r="G143" s="4" t="s">
        <v>27</v>
      </c>
      <c r="H143" s="4">
        <v>1475</v>
      </c>
      <c r="I143" s="5">
        <f t="shared" si="12"/>
        <v>1151.759771803203</v>
      </c>
      <c r="J143" s="4">
        <v>1704</v>
      </c>
      <c r="K143" s="5">
        <f t="shared" si="13"/>
        <v>919.9408516903103</v>
      </c>
      <c r="L143" s="5">
        <v>0</v>
      </c>
      <c r="M143" s="5">
        <v>0</v>
      </c>
      <c r="N143" s="4">
        <v>0</v>
      </c>
      <c r="O143" s="5">
        <f t="shared" si="14"/>
        <v>0</v>
      </c>
      <c r="P143" s="4">
        <v>1</v>
      </c>
      <c r="Q143" s="4">
        <v>0</v>
      </c>
      <c r="R143" s="4">
        <v>0</v>
      </c>
      <c r="S143" s="5">
        <f t="shared" si="15"/>
        <v>0.33333333333333331</v>
      </c>
      <c r="T143" s="5">
        <f t="shared" si="16"/>
        <v>0.79872632662802989</v>
      </c>
      <c r="U143" s="5">
        <f t="shared" si="17"/>
        <v>0.41733109604707946</v>
      </c>
      <c r="V143" s="4">
        <v>-23</v>
      </c>
      <c r="W143" s="4">
        <v>-28</v>
      </c>
      <c r="X143" s="4">
        <v>-23</v>
      </c>
      <c r="Y143" s="4">
        <v>48</v>
      </c>
      <c r="Z143" s="4">
        <v>0</v>
      </c>
      <c r="AA143" s="4">
        <v>0</v>
      </c>
      <c r="AB143" s="4">
        <v>0</v>
      </c>
      <c r="AC143" s="4">
        <v>0</v>
      </c>
      <c r="AD143" s="4"/>
      <c r="AE143" s="54">
        <v>4.61578369140625E-4</v>
      </c>
      <c r="AF143" s="54">
        <v>0.4680601954460144</v>
      </c>
    </row>
    <row r="144" spans="1:32" x14ac:dyDescent="0.2">
      <c r="A144" s="53" t="s">
        <v>2683</v>
      </c>
      <c r="B144" s="53" t="s">
        <v>2782</v>
      </c>
      <c r="C144" s="54" t="s">
        <v>2914</v>
      </c>
      <c r="D144" s="13" t="s">
        <v>657</v>
      </c>
      <c r="E144" s="4" t="s">
        <v>659</v>
      </c>
      <c r="F144" s="4" t="s">
        <v>658</v>
      </c>
      <c r="G144" s="4" t="s">
        <v>1874</v>
      </c>
      <c r="H144" s="4">
        <v>1600</v>
      </c>
      <c r="I144" s="5">
        <f t="shared" si="12"/>
        <v>1249.3665321255082</v>
      </c>
      <c r="J144" s="4">
        <v>3856</v>
      </c>
      <c r="K144" s="5">
        <f t="shared" si="13"/>
        <v>2081.7440869236134</v>
      </c>
      <c r="L144" s="5">
        <v>0</v>
      </c>
      <c r="M144" s="5">
        <v>0</v>
      </c>
      <c r="N144" s="4">
        <v>0</v>
      </c>
      <c r="O144" s="5">
        <f t="shared" si="14"/>
        <v>0</v>
      </c>
      <c r="P144" s="4">
        <v>0</v>
      </c>
      <c r="Q144" s="4">
        <v>0</v>
      </c>
      <c r="R144" s="4">
        <v>2</v>
      </c>
      <c r="S144" s="5">
        <f t="shared" si="15"/>
        <v>0.66666666666666663</v>
      </c>
      <c r="T144" s="5">
        <f t="shared" si="16"/>
        <v>1.6662396769841492</v>
      </c>
      <c r="U144" s="5">
        <f t="shared" si="17"/>
        <v>0.40010250378463924</v>
      </c>
      <c r="V144" s="4" t="s">
        <v>21</v>
      </c>
      <c r="W144" s="4" t="s">
        <v>21</v>
      </c>
      <c r="X144" s="4" t="s">
        <v>21</v>
      </c>
      <c r="Y144" s="4" t="s">
        <v>21</v>
      </c>
      <c r="Z144" s="4">
        <v>0</v>
      </c>
      <c r="AA144" s="4">
        <v>0</v>
      </c>
      <c r="AB144" s="4">
        <v>0</v>
      </c>
      <c r="AC144" s="4">
        <v>0</v>
      </c>
      <c r="AD144" s="4"/>
      <c r="AE144" s="54">
        <v>-3.6859512329101558E-3</v>
      </c>
      <c r="AF144" s="54">
        <v>-0.96686935424804688</v>
      </c>
    </row>
    <row r="145" spans="1:32" x14ac:dyDescent="0.2">
      <c r="A145" s="53" t="s">
        <v>2188</v>
      </c>
      <c r="B145" s="53" t="s">
        <v>2197</v>
      </c>
      <c r="C145" s="54" t="s">
        <v>3035</v>
      </c>
      <c r="D145" s="20" t="s">
        <v>776</v>
      </c>
      <c r="E145" s="9" t="s">
        <v>778</v>
      </c>
      <c r="F145" s="4" t="s">
        <v>777</v>
      </c>
      <c r="G145" s="12" t="s">
        <v>22</v>
      </c>
      <c r="H145" s="4">
        <v>568</v>
      </c>
      <c r="I145" s="5">
        <f t="shared" si="12"/>
        <v>443.52511890455543</v>
      </c>
      <c r="J145" s="4">
        <v>758</v>
      </c>
      <c r="K145" s="5">
        <f t="shared" si="13"/>
        <v>409.22251501247376</v>
      </c>
      <c r="L145" s="5">
        <v>0</v>
      </c>
      <c r="M145" s="5">
        <v>0</v>
      </c>
      <c r="N145" s="4">
        <v>0</v>
      </c>
      <c r="O145" s="5">
        <f t="shared" si="14"/>
        <v>0</v>
      </c>
      <c r="P145" s="4">
        <v>0</v>
      </c>
      <c r="Q145" s="4">
        <v>1</v>
      </c>
      <c r="R145" s="4">
        <v>0</v>
      </c>
      <c r="S145" s="5">
        <f t="shared" si="15"/>
        <v>0.33333333333333331</v>
      </c>
      <c r="T145" s="5">
        <f t="shared" si="16"/>
        <v>0.92265916307783369</v>
      </c>
      <c r="U145" s="5">
        <f t="shared" si="17"/>
        <v>0.36127461436722758</v>
      </c>
      <c r="V145" s="4">
        <v>-3</v>
      </c>
      <c r="W145" s="4">
        <v>34</v>
      </c>
      <c r="X145" s="4">
        <v>-1</v>
      </c>
      <c r="Y145" s="4">
        <v>-9</v>
      </c>
      <c r="Z145" s="4">
        <v>0</v>
      </c>
      <c r="AA145" s="4">
        <v>0</v>
      </c>
      <c r="AB145" s="4">
        <v>0</v>
      </c>
      <c r="AC145" s="4">
        <v>0</v>
      </c>
      <c r="AD145" s="4"/>
      <c r="AE145" s="54">
        <v>2.3651123046875E-4</v>
      </c>
      <c r="AF145" s="54">
        <v>0.40266996622085571</v>
      </c>
    </row>
    <row r="146" spans="1:32" x14ac:dyDescent="0.2">
      <c r="A146" s="53" t="s">
        <v>2243</v>
      </c>
      <c r="B146" s="53" t="s">
        <v>2304</v>
      </c>
      <c r="C146" s="54" t="s">
        <v>3388</v>
      </c>
      <c r="D146" s="13" t="s">
        <v>1446</v>
      </c>
      <c r="E146" s="4" t="s">
        <v>1448</v>
      </c>
      <c r="F146" s="4" t="s">
        <v>1447</v>
      </c>
      <c r="G146" s="4" t="s">
        <v>81</v>
      </c>
      <c r="H146" s="4">
        <v>2980</v>
      </c>
      <c r="I146" s="5">
        <f t="shared" si="12"/>
        <v>2326.945166083759</v>
      </c>
      <c r="J146" s="4">
        <v>4148</v>
      </c>
      <c r="K146" s="5">
        <f t="shared" si="13"/>
        <v>2239.3865333400277</v>
      </c>
      <c r="L146" s="5">
        <v>0</v>
      </c>
      <c r="M146" s="5">
        <v>0</v>
      </c>
      <c r="N146" s="4">
        <v>0</v>
      </c>
      <c r="O146" s="5">
        <f t="shared" si="14"/>
        <v>0</v>
      </c>
      <c r="P146" s="4">
        <v>1</v>
      </c>
      <c r="Q146" s="4">
        <v>0</v>
      </c>
      <c r="R146" s="4">
        <v>0</v>
      </c>
      <c r="S146" s="5">
        <f t="shared" si="15"/>
        <v>0.33333333333333331</v>
      </c>
      <c r="T146" s="5">
        <f t="shared" si="16"/>
        <v>0.9623718538709306</v>
      </c>
      <c r="U146" s="5">
        <f t="shared" si="17"/>
        <v>0.346366461147604</v>
      </c>
      <c r="V146" s="4">
        <v>31</v>
      </c>
      <c r="W146" s="4">
        <v>10</v>
      </c>
      <c r="X146" s="4">
        <v>-3</v>
      </c>
      <c r="Y146" s="4">
        <v>-9</v>
      </c>
      <c r="Z146" s="4">
        <v>0</v>
      </c>
      <c r="AA146" s="4">
        <v>0</v>
      </c>
      <c r="AB146" s="4">
        <v>0</v>
      </c>
      <c r="AC146" s="4">
        <v>0</v>
      </c>
      <c r="AD146" s="4"/>
      <c r="AE146" s="54">
        <v>8.6307525634765625E-5</v>
      </c>
      <c r="AF146" s="54">
        <v>0.20471394062042239</v>
      </c>
    </row>
    <row r="147" spans="1:32" x14ac:dyDescent="0.2">
      <c r="A147" s="53" t="s">
        <v>2243</v>
      </c>
      <c r="B147" s="53" t="s">
        <v>2347</v>
      </c>
      <c r="C147" s="54" t="s">
        <v>3364</v>
      </c>
      <c r="D147" s="13" t="s">
        <v>149</v>
      </c>
      <c r="E147" s="4" t="s">
        <v>151</v>
      </c>
      <c r="F147" s="4" t="s">
        <v>150</v>
      </c>
      <c r="G147" s="17" t="s">
        <v>198</v>
      </c>
      <c r="H147" s="4">
        <v>1001</v>
      </c>
      <c r="I147" s="5">
        <f t="shared" si="12"/>
        <v>781.63493666102113</v>
      </c>
      <c r="J147" s="4">
        <v>4417</v>
      </c>
      <c r="K147" s="5">
        <f t="shared" si="13"/>
        <v>2384.6119377441905</v>
      </c>
      <c r="L147" s="5">
        <v>0</v>
      </c>
      <c r="M147" s="5">
        <v>0</v>
      </c>
      <c r="N147" s="4">
        <v>0</v>
      </c>
      <c r="O147" s="5">
        <f t="shared" si="14"/>
        <v>0</v>
      </c>
      <c r="P147" s="4">
        <v>0</v>
      </c>
      <c r="Q147" s="4">
        <v>3</v>
      </c>
      <c r="R147" s="4">
        <v>0</v>
      </c>
      <c r="S147" s="5">
        <f t="shared" si="15"/>
        <v>1</v>
      </c>
      <c r="T147" s="5">
        <f t="shared" si="16"/>
        <v>3.0508000933667927</v>
      </c>
      <c r="U147" s="5">
        <f t="shared" si="17"/>
        <v>0.32778286659104661</v>
      </c>
      <c r="V147" s="4">
        <v>-18</v>
      </c>
      <c r="W147" s="4">
        <v>50</v>
      </c>
      <c r="X147" s="4">
        <v>-18</v>
      </c>
      <c r="Y147" s="4">
        <v>0</v>
      </c>
      <c r="Z147" s="4">
        <v>0.01</v>
      </c>
      <c r="AA147" s="4">
        <v>0</v>
      </c>
      <c r="AB147" s="4">
        <v>0</v>
      </c>
      <c r="AC147" s="4">
        <v>0</v>
      </c>
      <c r="AD147" s="4"/>
      <c r="AE147" s="54">
        <v>-2.8924942016601558E-3</v>
      </c>
      <c r="AF147" s="54">
        <v>-0.93910294771194458</v>
      </c>
    </row>
    <row r="148" spans="1:32" x14ac:dyDescent="0.2">
      <c r="A148" s="53" t="s">
        <v>2226</v>
      </c>
      <c r="B148" s="53" t="s">
        <v>2227</v>
      </c>
      <c r="C148" s="54" t="s">
        <v>3070</v>
      </c>
      <c r="D148" s="13" t="s">
        <v>479</v>
      </c>
      <c r="E148" s="4" t="s">
        <v>481</v>
      </c>
      <c r="F148" s="4" t="s">
        <v>480</v>
      </c>
      <c r="G148" s="12" t="s">
        <v>22</v>
      </c>
      <c r="H148" s="4">
        <v>562</v>
      </c>
      <c r="I148" s="5">
        <f t="shared" si="12"/>
        <v>438.83999440908474</v>
      </c>
      <c r="J148" s="4">
        <v>849</v>
      </c>
      <c r="K148" s="5">
        <f t="shared" si="13"/>
        <v>458.35081166964403</v>
      </c>
      <c r="L148" s="5">
        <v>0</v>
      </c>
      <c r="M148" s="5">
        <v>0</v>
      </c>
      <c r="N148" s="4">
        <v>0</v>
      </c>
      <c r="O148" s="5">
        <f t="shared" si="14"/>
        <v>0</v>
      </c>
      <c r="P148" s="4">
        <v>0</v>
      </c>
      <c r="Q148" s="4">
        <v>0</v>
      </c>
      <c r="R148" s="4">
        <v>1</v>
      </c>
      <c r="S148" s="5">
        <f t="shared" si="15"/>
        <v>0.33333333333333331</v>
      </c>
      <c r="T148" s="5">
        <f t="shared" si="16"/>
        <v>1.0444599797400675</v>
      </c>
      <c r="U148" s="5">
        <f t="shared" si="17"/>
        <v>0.31914418914958259</v>
      </c>
      <c r="V148" s="4">
        <v>42</v>
      </c>
      <c r="W148" s="4">
        <v>7</v>
      </c>
      <c r="X148" s="4">
        <v>41</v>
      </c>
      <c r="Y148" s="4">
        <v>-46</v>
      </c>
      <c r="Z148" s="4">
        <v>0</v>
      </c>
      <c r="AA148" s="4">
        <v>0</v>
      </c>
      <c r="AB148" s="4">
        <v>0</v>
      </c>
      <c r="AC148" s="4">
        <v>0</v>
      </c>
      <c r="AD148" s="4"/>
      <c r="AE148" s="54">
        <v>-7.2085857391357422E-4</v>
      </c>
      <c r="AF148" s="54">
        <v>-0.58437919616699219</v>
      </c>
    </row>
    <row r="149" spans="1:32" x14ac:dyDescent="0.2">
      <c r="A149" s="53" t="s">
        <v>2590</v>
      </c>
      <c r="B149" s="53" t="s">
        <v>2596</v>
      </c>
      <c r="C149" s="54" t="s">
        <v>3128</v>
      </c>
      <c r="D149" s="13" t="s">
        <v>742</v>
      </c>
      <c r="E149" s="4" t="s">
        <v>744</v>
      </c>
      <c r="F149" s="4" t="s">
        <v>743</v>
      </c>
      <c r="G149" s="4" t="s">
        <v>211</v>
      </c>
      <c r="H149" s="4">
        <v>1807</v>
      </c>
      <c r="I149" s="5">
        <f t="shared" si="12"/>
        <v>1411.0033272192459</v>
      </c>
      <c r="J149" s="4">
        <v>2738</v>
      </c>
      <c r="K149" s="5">
        <f t="shared" si="13"/>
        <v>1478.1678708498061</v>
      </c>
      <c r="L149" s="5">
        <v>0</v>
      </c>
      <c r="M149" s="5">
        <v>0</v>
      </c>
      <c r="N149" s="4">
        <v>0</v>
      </c>
      <c r="O149" s="5">
        <f t="shared" si="14"/>
        <v>0</v>
      </c>
      <c r="P149" s="4">
        <v>0</v>
      </c>
      <c r="Q149" s="4">
        <v>1</v>
      </c>
      <c r="R149" s="4">
        <v>0</v>
      </c>
      <c r="S149" s="5">
        <f t="shared" si="15"/>
        <v>0.33333333333333331</v>
      </c>
      <c r="T149" s="5">
        <f t="shared" si="16"/>
        <v>1.047600556522376</v>
      </c>
      <c r="U149" s="5">
        <f t="shared" si="17"/>
        <v>0.31818743437849017</v>
      </c>
      <c r="V149" s="4">
        <v>-2</v>
      </c>
      <c r="W149" s="4">
        <v>-15</v>
      </c>
      <c r="X149" s="4">
        <v>-46</v>
      </c>
      <c r="Y149" s="4">
        <v>5</v>
      </c>
      <c r="Z149" s="4">
        <v>0</v>
      </c>
      <c r="AA149" s="4">
        <v>0</v>
      </c>
      <c r="AB149" s="4">
        <v>0</v>
      </c>
      <c r="AC149" s="4">
        <v>0</v>
      </c>
      <c r="AD149" s="4"/>
      <c r="AE149" s="54">
        <v>9.479522705078125E-4</v>
      </c>
      <c r="AF149" s="54">
        <v>0.69892668724060059</v>
      </c>
    </row>
    <row r="150" spans="1:32" x14ac:dyDescent="0.2">
      <c r="A150" s="53" t="s">
        <v>2787</v>
      </c>
      <c r="B150" s="53" t="s">
        <v>2817</v>
      </c>
      <c r="C150" s="54" t="s">
        <v>3506</v>
      </c>
      <c r="D150" s="13" t="s">
        <v>1164</v>
      </c>
      <c r="E150" s="4" t="s">
        <v>1166</v>
      </c>
      <c r="F150" s="4" t="s">
        <v>1165</v>
      </c>
      <c r="G150" s="4" t="s">
        <v>132</v>
      </c>
      <c r="H150" s="4">
        <v>1909</v>
      </c>
      <c r="I150" s="5">
        <f t="shared" si="12"/>
        <v>1490.6504436422472</v>
      </c>
      <c r="J150" s="4">
        <v>2992</v>
      </c>
      <c r="K150" s="5">
        <f t="shared" si="13"/>
        <v>1615.2952043764135</v>
      </c>
      <c r="L150" s="5">
        <v>0</v>
      </c>
      <c r="M150" s="5">
        <v>0</v>
      </c>
      <c r="N150" s="4">
        <v>0</v>
      </c>
      <c r="O150" s="5">
        <f t="shared" si="14"/>
        <v>0</v>
      </c>
      <c r="P150" s="4">
        <v>1</v>
      </c>
      <c r="Q150" s="4">
        <v>0</v>
      </c>
      <c r="R150" s="4">
        <v>0</v>
      </c>
      <c r="S150" s="5">
        <f t="shared" si="15"/>
        <v>0.33333333333333331</v>
      </c>
      <c r="T150" s="5">
        <f t="shared" si="16"/>
        <v>1.0836176994182554</v>
      </c>
      <c r="U150" s="5">
        <f t="shared" si="17"/>
        <v>0.30761156218866181</v>
      </c>
      <c r="V150" s="4">
        <v>28</v>
      </c>
      <c r="W150" s="4">
        <v>-1</v>
      </c>
      <c r="X150" s="4">
        <v>28</v>
      </c>
      <c r="Y150" s="4">
        <v>-31</v>
      </c>
      <c r="Z150" s="4">
        <v>0</v>
      </c>
      <c r="AA150" s="4">
        <v>0</v>
      </c>
      <c r="AB150" s="4">
        <v>0</v>
      </c>
      <c r="AC150" s="4">
        <v>0</v>
      </c>
      <c r="AD150" s="4"/>
      <c r="AE150" s="54">
        <v>-2.1332502365112299E-4</v>
      </c>
      <c r="AF150" s="54">
        <v>-0.37327557802200317</v>
      </c>
    </row>
    <row r="151" spans="1:32" x14ac:dyDescent="0.2">
      <c r="A151" s="53" t="s">
        <v>2243</v>
      </c>
      <c r="B151" s="53" t="s">
        <v>2392</v>
      </c>
      <c r="C151" s="54" t="s">
        <v>3301</v>
      </c>
      <c r="D151" s="13" t="s">
        <v>968</v>
      </c>
      <c r="E151" s="4" t="s">
        <v>970</v>
      </c>
      <c r="F151" s="4" t="s">
        <v>969</v>
      </c>
      <c r="G151" s="4" t="s">
        <v>27</v>
      </c>
      <c r="H151" s="4">
        <v>2037</v>
      </c>
      <c r="I151" s="5">
        <f t="shared" si="12"/>
        <v>1590.5997662122877</v>
      </c>
      <c r="J151" s="4">
        <v>3318</v>
      </c>
      <c r="K151" s="5">
        <f t="shared" si="13"/>
        <v>1791.2932781152874</v>
      </c>
      <c r="L151" s="5">
        <v>0</v>
      </c>
      <c r="M151" s="5">
        <v>0</v>
      </c>
      <c r="N151" s="4">
        <v>0</v>
      </c>
      <c r="O151" s="5">
        <f t="shared" si="14"/>
        <v>0</v>
      </c>
      <c r="P151" s="4">
        <v>0</v>
      </c>
      <c r="Q151" s="4">
        <v>0</v>
      </c>
      <c r="R151" s="4">
        <v>1</v>
      </c>
      <c r="S151" s="5">
        <f t="shared" si="15"/>
        <v>0.33333333333333331</v>
      </c>
      <c r="T151" s="5">
        <f t="shared" si="16"/>
        <v>1.1261747399730313</v>
      </c>
      <c r="U151" s="5">
        <f t="shared" si="17"/>
        <v>0.29598722249916182</v>
      </c>
      <c r="V151" s="4">
        <v>-14</v>
      </c>
      <c r="W151" s="4">
        <v>-9</v>
      </c>
      <c r="X151" s="4">
        <v>-32</v>
      </c>
      <c r="Y151" s="4">
        <v>-9</v>
      </c>
      <c r="Z151" s="4">
        <v>0</v>
      </c>
      <c r="AA151" s="4">
        <v>0</v>
      </c>
      <c r="AB151" s="4">
        <v>0</v>
      </c>
      <c r="AC151" s="4">
        <v>0</v>
      </c>
      <c r="AD151" s="4"/>
      <c r="AE151" s="54">
        <v>-3.0462741851806641E-3</v>
      </c>
      <c r="AF151" s="54">
        <v>-0.9455573558807373</v>
      </c>
    </row>
    <row r="152" spans="1:32" x14ac:dyDescent="0.2">
      <c r="A152" s="53" t="s">
        <v>2656</v>
      </c>
      <c r="B152" s="53" t="s">
        <v>2655</v>
      </c>
      <c r="C152" s="54" t="s">
        <v>3067</v>
      </c>
      <c r="D152" s="13" t="s">
        <v>482</v>
      </c>
      <c r="E152" s="4" t="s">
        <v>484</v>
      </c>
      <c r="F152" s="4" t="s">
        <v>483</v>
      </c>
      <c r="G152" s="4" t="s">
        <v>1436</v>
      </c>
      <c r="H152" s="4">
        <v>538</v>
      </c>
      <c r="I152" s="5">
        <f t="shared" si="12"/>
        <v>420.09949642720215</v>
      </c>
      <c r="J152" s="4">
        <v>958</v>
      </c>
      <c r="K152" s="5">
        <f t="shared" si="13"/>
        <v>517.196793379881</v>
      </c>
      <c r="L152" s="5">
        <v>0</v>
      </c>
      <c r="M152" s="5">
        <v>0</v>
      </c>
      <c r="N152" s="4">
        <v>0</v>
      </c>
      <c r="O152" s="5">
        <f t="shared" si="14"/>
        <v>0</v>
      </c>
      <c r="P152" s="4">
        <v>0</v>
      </c>
      <c r="Q152" s="4">
        <v>1</v>
      </c>
      <c r="R152" s="4">
        <v>0</v>
      </c>
      <c r="S152" s="5">
        <f t="shared" si="15"/>
        <v>0.33333333333333331</v>
      </c>
      <c r="T152" s="5">
        <f t="shared" si="16"/>
        <v>1.2311292867010246</v>
      </c>
      <c r="U152" s="5">
        <f t="shared" si="17"/>
        <v>0.27075412544733179</v>
      </c>
      <c r="V152" s="4">
        <v>47</v>
      </c>
      <c r="W152" s="4">
        <v>0</v>
      </c>
      <c r="X152" s="4">
        <v>-44</v>
      </c>
      <c r="Y152" s="4">
        <v>2</v>
      </c>
      <c r="Z152" s="4">
        <v>0</v>
      </c>
      <c r="AA152" s="4">
        <v>0</v>
      </c>
      <c r="AB152" s="4">
        <v>0</v>
      </c>
      <c r="AC152" s="4">
        <v>0</v>
      </c>
      <c r="AD152" s="4"/>
      <c r="AE152" s="54">
        <v>4.0972232818603521E-4</v>
      </c>
      <c r="AF152" s="54">
        <v>0.44060030579566961</v>
      </c>
    </row>
    <row r="153" spans="1:32" x14ac:dyDescent="0.2">
      <c r="A153" s="53" t="s">
        <v>2243</v>
      </c>
      <c r="B153" s="53" t="s">
        <v>2470</v>
      </c>
      <c r="C153" s="54" t="s">
        <v>3235</v>
      </c>
      <c r="D153" s="13" t="s">
        <v>1283</v>
      </c>
      <c r="E153" s="4" t="s">
        <v>1285</v>
      </c>
      <c r="F153" s="4" t="s">
        <v>1284</v>
      </c>
      <c r="G153" s="4" t="s">
        <v>27</v>
      </c>
      <c r="H153" s="4">
        <v>1927</v>
      </c>
      <c r="I153" s="5">
        <f t="shared" si="12"/>
        <v>1504.705817128659</v>
      </c>
      <c r="J153" s="4">
        <v>3708</v>
      </c>
      <c r="K153" s="5">
        <f t="shared" si="13"/>
        <v>2001.8431209317318</v>
      </c>
      <c r="L153" s="5">
        <v>0</v>
      </c>
      <c r="M153" s="5">
        <v>0</v>
      </c>
      <c r="N153" s="4">
        <v>0</v>
      </c>
      <c r="O153" s="5">
        <f t="shared" si="14"/>
        <v>0</v>
      </c>
      <c r="P153" s="4">
        <v>0</v>
      </c>
      <c r="Q153" s="4">
        <v>1</v>
      </c>
      <c r="R153" s="4">
        <v>0</v>
      </c>
      <c r="S153" s="5">
        <f t="shared" si="15"/>
        <v>0.33333333333333331</v>
      </c>
      <c r="T153" s="5">
        <f t="shared" si="16"/>
        <v>1.3303883710317082</v>
      </c>
      <c r="U153" s="5">
        <f t="shared" si="17"/>
        <v>0.25055340274421922</v>
      </c>
      <c r="V153" s="4">
        <v>11</v>
      </c>
      <c r="W153" s="4">
        <v>-27</v>
      </c>
      <c r="X153" s="4">
        <v>19</v>
      </c>
      <c r="Y153" s="4">
        <v>-27</v>
      </c>
      <c r="Z153" s="4">
        <v>0</v>
      </c>
      <c r="AA153" s="4">
        <v>0</v>
      </c>
      <c r="AB153" s="4">
        <v>0</v>
      </c>
      <c r="AC153" s="4">
        <v>0</v>
      </c>
      <c r="AD153" s="4"/>
      <c r="AE153" s="54">
        <v>2.2175312042236328E-3</v>
      </c>
      <c r="AF153" s="54">
        <v>0.89409929513931274</v>
      </c>
    </row>
    <row r="154" spans="1:32" x14ac:dyDescent="0.2">
      <c r="A154" s="53" t="s">
        <v>2243</v>
      </c>
      <c r="B154" s="53" t="s">
        <v>2301</v>
      </c>
      <c r="C154" s="54" t="s">
        <v>3385</v>
      </c>
      <c r="D154" s="13" t="s">
        <v>133</v>
      </c>
      <c r="E154" s="4" t="s">
        <v>135</v>
      </c>
      <c r="F154" s="4" t="s">
        <v>134</v>
      </c>
      <c r="G154" s="4" t="s">
        <v>81</v>
      </c>
      <c r="H154" s="4">
        <v>1188</v>
      </c>
      <c r="I154" s="5">
        <f t="shared" si="12"/>
        <v>927.65465010318985</v>
      </c>
      <c r="J154" s="4">
        <v>3348</v>
      </c>
      <c r="K154" s="5">
        <f t="shared" si="13"/>
        <v>1807.4894198703985</v>
      </c>
      <c r="L154" s="5">
        <v>0</v>
      </c>
      <c r="M154" s="5">
        <v>0</v>
      </c>
      <c r="N154" s="4">
        <v>0</v>
      </c>
      <c r="O154" s="5">
        <f t="shared" si="14"/>
        <v>0</v>
      </c>
      <c r="P154" s="4">
        <v>0</v>
      </c>
      <c r="Q154" s="4">
        <v>1</v>
      </c>
      <c r="R154" s="4">
        <v>0</v>
      </c>
      <c r="S154" s="5">
        <f t="shared" si="15"/>
        <v>0.33333333333333331</v>
      </c>
      <c r="T154" s="5">
        <f t="shared" si="16"/>
        <v>1.9484507727841802</v>
      </c>
      <c r="U154" s="5">
        <f t="shared" si="17"/>
        <v>0.17107608669888369</v>
      </c>
      <c r="V154" s="4">
        <v>5</v>
      </c>
      <c r="W154" s="4">
        <v>1</v>
      </c>
      <c r="X154" s="4">
        <v>5</v>
      </c>
      <c r="Y154" s="4">
        <v>19</v>
      </c>
      <c r="Z154" s="4">
        <v>0.03</v>
      </c>
      <c r="AA154" s="4">
        <v>0.02</v>
      </c>
      <c r="AB154" s="4">
        <v>0</v>
      </c>
      <c r="AC154" s="4">
        <v>0</v>
      </c>
      <c r="AD154" s="4"/>
      <c r="AE154" s="54">
        <v>3.0088424682617192E-3</v>
      </c>
      <c r="AF154" s="54">
        <v>0.9455573558807373</v>
      </c>
    </row>
    <row r="155" spans="1:32" x14ac:dyDescent="0.2">
      <c r="A155" s="53" t="s">
        <v>2243</v>
      </c>
      <c r="B155" s="53" t="s">
        <v>2478</v>
      </c>
      <c r="C155" s="54" t="s">
        <v>3230</v>
      </c>
      <c r="D155" s="13" t="s">
        <v>1818</v>
      </c>
      <c r="E155" s="4" t="s">
        <v>1820</v>
      </c>
      <c r="F155" s="4" t="s">
        <v>1819</v>
      </c>
      <c r="G155" s="4" t="s">
        <v>27</v>
      </c>
      <c r="H155" s="4">
        <v>1019</v>
      </c>
      <c r="I155" s="5">
        <f t="shared" si="12"/>
        <v>795.69031014743302</v>
      </c>
      <c r="J155" s="4">
        <v>2966</v>
      </c>
      <c r="K155" s="5">
        <f t="shared" si="13"/>
        <v>1601.2585481886504</v>
      </c>
      <c r="L155" s="5">
        <v>0</v>
      </c>
      <c r="M155" s="5">
        <v>0</v>
      </c>
      <c r="N155" s="4">
        <v>0</v>
      </c>
      <c r="O155" s="5">
        <f t="shared" si="14"/>
        <v>0</v>
      </c>
      <c r="P155" s="4">
        <v>0</v>
      </c>
      <c r="Q155" s="4">
        <v>1</v>
      </c>
      <c r="R155" s="4">
        <v>0</v>
      </c>
      <c r="S155" s="5">
        <f t="shared" si="15"/>
        <v>0.33333333333333331</v>
      </c>
      <c r="T155" s="5">
        <f t="shared" si="16"/>
        <v>2.0124142870257575</v>
      </c>
      <c r="U155" s="5">
        <f t="shared" si="17"/>
        <v>0.16563852457337822</v>
      </c>
      <c r="V155" s="4">
        <v>33</v>
      </c>
      <c r="W155" s="4">
        <v>-3</v>
      </c>
      <c r="X155" s="4">
        <v>-37</v>
      </c>
      <c r="Y155" s="4">
        <v>-3</v>
      </c>
      <c r="Z155" s="4">
        <v>0</v>
      </c>
      <c r="AA155" s="4">
        <v>0</v>
      </c>
      <c r="AB155" s="4">
        <v>0</v>
      </c>
      <c r="AC155" s="4">
        <v>0</v>
      </c>
      <c r="AD155" s="4"/>
      <c r="AE155" s="54">
        <v>2.7071952819824219E-2</v>
      </c>
      <c r="AF155" s="54">
        <v>0.99965846538543701</v>
      </c>
    </row>
    <row r="156" spans="1:32" x14ac:dyDescent="0.2">
      <c r="A156" s="53" t="s">
        <v>2601</v>
      </c>
      <c r="B156" s="53" t="s">
        <v>2603</v>
      </c>
      <c r="C156" s="54" t="s">
        <v>3099</v>
      </c>
      <c r="D156" s="8" t="s">
        <v>305</v>
      </c>
      <c r="E156" s="9" t="s">
        <v>2602</v>
      </c>
      <c r="F156" s="9" t="s">
        <v>306</v>
      </c>
      <c r="G156" s="4" t="s">
        <v>1436</v>
      </c>
      <c r="H156" s="4">
        <v>465</v>
      </c>
      <c r="I156" s="5">
        <f t="shared" si="12"/>
        <v>363.09714839897583</v>
      </c>
      <c r="J156" s="4">
        <v>3264</v>
      </c>
      <c r="K156" s="5">
        <f t="shared" si="13"/>
        <v>1762.1402229560874</v>
      </c>
      <c r="L156" s="5">
        <v>0</v>
      </c>
      <c r="M156" s="5">
        <v>0</v>
      </c>
      <c r="N156" s="4">
        <v>0</v>
      </c>
      <c r="O156" s="5">
        <f t="shared" si="14"/>
        <v>0</v>
      </c>
      <c r="P156" s="4">
        <v>0</v>
      </c>
      <c r="Q156" s="4">
        <v>0</v>
      </c>
      <c r="R156" s="4">
        <v>2</v>
      </c>
      <c r="S156" s="5">
        <f t="shared" si="15"/>
        <v>0.66666666666666663</v>
      </c>
      <c r="T156" s="5">
        <f t="shared" si="16"/>
        <v>4.8530819664268607</v>
      </c>
      <c r="U156" s="5">
        <f t="shared" si="17"/>
        <v>0.13736975210363239</v>
      </c>
      <c r="V156" s="4">
        <v>15</v>
      </c>
      <c r="W156" s="4">
        <v>-9</v>
      </c>
      <c r="X156" s="4">
        <v>29</v>
      </c>
      <c r="Y156" s="4">
        <v>-9</v>
      </c>
      <c r="Z156" s="4">
        <v>0</v>
      </c>
      <c r="AA156" s="4">
        <v>0</v>
      </c>
      <c r="AB156" s="4">
        <v>0</v>
      </c>
      <c r="AC156" s="4">
        <v>0</v>
      </c>
      <c r="AD156" s="4"/>
      <c r="AE156" s="54">
        <v>1.6142129898071289E-3</v>
      </c>
      <c r="AF156" s="54">
        <v>0.82270622253417969</v>
      </c>
    </row>
    <row r="157" spans="1:32" x14ac:dyDescent="0.2">
      <c r="A157" s="53" t="s">
        <v>2683</v>
      </c>
      <c r="B157" s="53" t="s">
        <v>2773</v>
      </c>
      <c r="C157" s="54" t="s">
        <v>2923</v>
      </c>
      <c r="D157" s="13" t="s">
        <v>645</v>
      </c>
      <c r="E157" s="4" t="s">
        <v>647</v>
      </c>
      <c r="F157" s="4" t="s">
        <v>646</v>
      </c>
      <c r="G157" s="4" t="s">
        <v>1845</v>
      </c>
      <c r="H157" s="4">
        <v>1405</v>
      </c>
      <c r="I157" s="5">
        <f t="shared" si="12"/>
        <v>1097.0999860227118</v>
      </c>
      <c r="J157" s="4">
        <v>5174</v>
      </c>
      <c r="K157" s="5">
        <f t="shared" si="13"/>
        <v>2793.2945813648275</v>
      </c>
      <c r="L157" s="5">
        <v>0</v>
      </c>
      <c r="M157" s="5">
        <v>0</v>
      </c>
      <c r="N157" s="4">
        <v>0</v>
      </c>
      <c r="O157" s="5">
        <f t="shared" si="14"/>
        <v>0</v>
      </c>
      <c r="P157" s="4">
        <v>1</v>
      </c>
      <c r="Q157" s="4">
        <v>0</v>
      </c>
      <c r="R157" s="4">
        <v>0</v>
      </c>
      <c r="S157" s="5">
        <f t="shared" si="15"/>
        <v>0.33333333333333331</v>
      </c>
      <c r="T157" s="5">
        <f t="shared" si="16"/>
        <v>2.5460711119788506</v>
      </c>
      <c r="U157" s="5">
        <f t="shared" si="17"/>
        <v>0.1309206690123674</v>
      </c>
      <c r="V157" s="4">
        <v>5</v>
      </c>
      <c r="W157" s="4">
        <v>2</v>
      </c>
      <c r="X157" s="4">
        <v>37</v>
      </c>
      <c r="Y157" s="4">
        <v>2</v>
      </c>
      <c r="Z157" s="4">
        <v>0</v>
      </c>
      <c r="AA157" s="4">
        <v>0</v>
      </c>
      <c r="AB157" s="4">
        <v>0</v>
      </c>
      <c r="AC157" s="4">
        <v>0</v>
      </c>
      <c r="AD157" s="4"/>
      <c r="AE157" s="54">
        <v>1.6982555389404299E-3</v>
      </c>
      <c r="AF157" s="54">
        <v>0.83357608318328857</v>
      </c>
    </row>
    <row r="158" spans="1:32" x14ac:dyDescent="0.2">
      <c r="A158" s="53" t="s">
        <v>2243</v>
      </c>
      <c r="B158" s="53" t="s">
        <v>2316</v>
      </c>
      <c r="C158" s="54" t="s">
        <v>3401</v>
      </c>
      <c r="D158" s="13" t="s">
        <v>894</v>
      </c>
      <c r="E158" s="4" t="s">
        <v>896</v>
      </c>
      <c r="F158" s="4" t="s">
        <v>895</v>
      </c>
      <c r="G158" s="4" t="s">
        <v>81</v>
      </c>
      <c r="H158" s="4">
        <v>1018</v>
      </c>
      <c r="I158" s="5">
        <f t="shared" si="12"/>
        <v>794.90945606485457</v>
      </c>
      <c r="J158" s="4">
        <v>4044</v>
      </c>
      <c r="K158" s="5">
        <f t="shared" si="13"/>
        <v>2183.2399085889756</v>
      </c>
      <c r="L158" s="5">
        <v>0</v>
      </c>
      <c r="M158" s="5">
        <v>0</v>
      </c>
      <c r="N158" s="4">
        <v>0</v>
      </c>
      <c r="O158" s="5">
        <f t="shared" si="14"/>
        <v>0</v>
      </c>
      <c r="P158" s="4">
        <v>0</v>
      </c>
      <c r="Q158" s="4">
        <v>0</v>
      </c>
      <c r="R158" s="4">
        <v>1</v>
      </c>
      <c r="S158" s="5">
        <f t="shared" si="15"/>
        <v>0.33333333333333331</v>
      </c>
      <c r="T158" s="5">
        <f t="shared" si="16"/>
        <v>2.7465265281871938</v>
      </c>
      <c r="U158" s="5">
        <f t="shared" si="17"/>
        <v>0.12136541552116203</v>
      </c>
      <c r="V158" s="4">
        <v>-2</v>
      </c>
      <c r="W158" s="4">
        <v>-7</v>
      </c>
      <c r="X158" s="4">
        <v>-2</v>
      </c>
      <c r="Y158" s="4">
        <v>2</v>
      </c>
      <c r="Z158" s="4">
        <v>0</v>
      </c>
      <c r="AA158" s="4">
        <v>0</v>
      </c>
      <c r="AB158" s="4">
        <v>0</v>
      </c>
      <c r="AC158" s="4">
        <v>0</v>
      </c>
      <c r="AD158" s="4"/>
      <c r="AE158" s="54">
        <v>3.0918121337890621E-3</v>
      </c>
      <c r="AF158" s="54">
        <v>0.94910556077957153</v>
      </c>
    </row>
    <row r="159" spans="1:32" x14ac:dyDescent="0.2">
      <c r="A159" s="53" t="s">
        <v>2170</v>
      </c>
      <c r="B159" s="55"/>
      <c r="C159" s="4"/>
      <c r="D159" s="20" t="s">
        <v>1223</v>
      </c>
      <c r="E159" s="9" t="s">
        <v>1225</v>
      </c>
      <c r="F159" s="4" t="s">
        <v>1224</v>
      </c>
      <c r="G159" s="12" t="s">
        <v>22</v>
      </c>
      <c r="H159" s="4">
        <v>190</v>
      </c>
      <c r="I159" s="5">
        <f t="shared" si="12"/>
        <v>148.3622756899041</v>
      </c>
      <c r="J159" s="4">
        <v>804</v>
      </c>
      <c r="K159" s="5">
        <f t="shared" si="13"/>
        <v>434.05659903697739</v>
      </c>
      <c r="L159" s="5">
        <v>0</v>
      </c>
      <c r="M159" s="5">
        <v>0</v>
      </c>
      <c r="N159" s="4">
        <v>0</v>
      </c>
      <c r="O159" s="5">
        <f t="shared" si="14"/>
        <v>0</v>
      </c>
      <c r="P159" s="4">
        <v>0</v>
      </c>
      <c r="Q159" s="4">
        <v>1</v>
      </c>
      <c r="R159" s="4">
        <v>0</v>
      </c>
      <c r="S159" s="5">
        <f t="shared" si="15"/>
        <v>0.33333333333333331</v>
      </c>
      <c r="T159" s="5">
        <f t="shared" si="16"/>
        <v>2.9256534184216112</v>
      </c>
      <c r="U159" s="5">
        <f t="shared" si="17"/>
        <v>0.11393466199190692</v>
      </c>
      <c r="V159" s="4">
        <v>-24</v>
      </c>
      <c r="W159" s="4">
        <v>-29</v>
      </c>
      <c r="X159" s="4">
        <v>-29</v>
      </c>
      <c r="Y159" s="4">
        <v>45</v>
      </c>
      <c r="Z159" s="4">
        <v>0</v>
      </c>
      <c r="AA159" s="4">
        <v>0</v>
      </c>
      <c r="AB159" s="4">
        <v>0</v>
      </c>
      <c r="AC159" s="4">
        <v>0</v>
      </c>
      <c r="AD159" s="4"/>
      <c r="AE159" s="54"/>
      <c r="AF159" s="54"/>
    </row>
    <row r="160" spans="1:32" x14ac:dyDescent="0.2">
      <c r="A160" s="53" t="s">
        <v>2243</v>
      </c>
      <c r="B160" s="53" t="s">
        <v>2480</v>
      </c>
      <c r="C160" s="54" t="s">
        <v>3232</v>
      </c>
      <c r="D160" s="13" t="s">
        <v>1500</v>
      </c>
      <c r="E160" s="4" t="s">
        <v>1502</v>
      </c>
      <c r="F160" s="4" t="s">
        <v>1501</v>
      </c>
      <c r="G160" s="4" t="s">
        <v>66</v>
      </c>
      <c r="H160" s="4">
        <v>299</v>
      </c>
      <c r="I160" s="5">
        <f t="shared" si="12"/>
        <v>233.47537069095435</v>
      </c>
      <c r="J160" s="4">
        <v>1682</v>
      </c>
      <c r="K160" s="5">
        <f t="shared" si="13"/>
        <v>908.06368106989555</v>
      </c>
      <c r="L160" s="5">
        <v>0</v>
      </c>
      <c r="M160" s="5">
        <v>0</v>
      </c>
      <c r="N160" s="4">
        <v>0</v>
      </c>
      <c r="O160" s="5">
        <f t="shared" si="14"/>
        <v>0</v>
      </c>
      <c r="P160" s="4">
        <v>1</v>
      </c>
      <c r="Q160" s="4">
        <v>0</v>
      </c>
      <c r="R160" s="4">
        <v>0</v>
      </c>
      <c r="S160" s="5">
        <f t="shared" si="15"/>
        <v>0.33333333333333331</v>
      </c>
      <c r="T160" s="5">
        <f t="shared" si="16"/>
        <v>3.889333930095253</v>
      </c>
      <c r="U160" s="5">
        <f t="shared" si="17"/>
        <v>8.570447776521202E-2</v>
      </c>
      <c r="V160" s="4">
        <v>38</v>
      </c>
      <c r="W160" s="4">
        <v>-33</v>
      </c>
      <c r="X160" s="4">
        <v>-45</v>
      </c>
      <c r="Y160" s="4">
        <v>-33</v>
      </c>
      <c r="Z160" s="4">
        <v>0</v>
      </c>
      <c r="AA160" s="4">
        <v>0</v>
      </c>
      <c r="AB160" s="4">
        <v>0</v>
      </c>
      <c r="AC160" s="4">
        <v>0</v>
      </c>
      <c r="AD160" s="4"/>
      <c r="AE160" s="54">
        <v>-4.2009353637695312E-4</v>
      </c>
      <c r="AF160" s="54">
        <v>-0.44060030579566961</v>
      </c>
    </row>
    <row r="161" spans="1:32" x14ac:dyDescent="0.2">
      <c r="A161" s="53" t="s">
        <v>2243</v>
      </c>
      <c r="B161" s="53" t="s">
        <v>2379</v>
      </c>
      <c r="C161" s="54" t="s">
        <v>3327</v>
      </c>
      <c r="D161" s="13" t="s">
        <v>530</v>
      </c>
      <c r="E161" s="4" t="s">
        <v>532</v>
      </c>
      <c r="F161" s="4" t="s">
        <v>531</v>
      </c>
      <c r="G161" s="12" t="s">
        <v>27</v>
      </c>
      <c r="H161" s="4">
        <v>335</v>
      </c>
      <c r="I161" s="5">
        <f t="shared" si="12"/>
        <v>261.58611766377828</v>
      </c>
      <c r="J161" s="4">
        <v>2268</v>
      </c>
      <c r="K161" s="5">
        <f t="shared" si="13"/>
        <v>1224.4283166863991</v>
      </c>
      <c r="L161" s="5">
        <v>0</v>
      </c>
      <c r="M161" s="5">
        <v>0</v>
      </c>
      <c r="N161" s="4">
        <v>0</v>
      </c>
      <c r="O161" s="5">
        <f t="shared" si="14"/>
        <v>0</v>
      </c>
      <c r="P161" s="4">
        <v>0</v>
      </c>
      <c r="Q161" s="4">
        <v>0</v>
      </c>
      <c r="R161" s="4">
        <v>1</v>
      </c>
      <c r="S161" s="5">
        <f t="shared" si="15"/>
        <v>0.33333333333333331</v>
      </c>
      <c r="T161" s="5">
        <f t="shared" si="16"/>
        <v>4.6807847741376722</v>
      </c>
      <c r="U161" s="5">
        <f t="shared" si="17"/>
        <v>7.1213129724543328E-2</v>
      </c>
      <c r="V161" s="4">
        <v>-10</v>
      </c>
      <c r="W161" s="4">
        <v>-1</v>
      </c>
      <c r="X161" s="4">
        <v>40</v>
      </c>
      <c r="Y161" s="4">
        <v>-1</v>
      </c>
      <c r="Z161" s="4">
        <v>0</v>
      </c>
      <c r="AA161" s="4">
        <v>0</v>
      </c>
      <c r="AB161" s="4">
        <v>0</v>
      </c>
      <c r="AC161" s="4">
        <v>0</v>
      </c>
      <c r="AD161" s="4"/>
      <c r="AE161" s="54">
        <v>-2.9442310333251949E-3</v>
      </c>
      <c r="AF161" s="54">
        <v>-0.94045054912567139</v>
      </c>
    </row>
    <row r="162" spans="1:32" x14ac:dyDescent="0.2">
      <c r="A162" s="53" t="s">
        <v>2243</v>
      </c>
      <c r="B162" s="53" t="s">
        <v>2502</v>
      </c>
      <c r="C162" s="54" t="s">
        <v>3206</v>
      </c>
      <c r="D162" s="13" t="s">
        <v>1070</v>
      </c>
      <c r="E162" s="4" t="s">
        <v>1072</v>
      </c>
      <c r="F162" s="4" t="s">
        <v>1071</v>
      </c>
      <c r="G162" s="4" t="s">
        <v>27</v>
      </c>
      <c r="H162" s="4">
        <v>226</v>
      </c>
      <c r="I162" s="5">
        <f t="shared" si="12"/>
        <v>176.47302266272806</v>
      </c>
      <c r="J162" s="4">
        <v>1636</v>
      </c>
      <c r="K162" s="5">
        <f t="shared" si="13"/>
        <v>883.22959704539187</v>
      </c>
      <c r="L162" s="5">
        <v>0</v>
      </c>
      <c r="M162" s="5">
        <v>0</v>
      </c>
      <c r="N162" s="4">
        <v>0</v>
      </c>
      <c r="O162" s="5">
        <f t="shared" si="14"/>
        <v>0</v>
      </c>
      <c r="P162" s="4">
        <v>0</v>
      </c>
      <c r="Q162" s="4">
        <v>1</v>
      </c>
      <c r="R162" s="4">
        <v>0</v>
      </c>
      <c r="S162" s="5">
        <f t="shared" si="15"/>
        <v>0.33333333333333331</v>
      </c>
      <c r="T162" s="5">
        <f t="shared" si="16"/>
        <v>5.0048986735689551</v>
      </c>
      <c r="U162" s="5">
        <f t="shared" si="17"/>
        <v>6.6601414948454063E-2</v>
      </c>
      <c r="V162" s="4">
        <v>0</v>
      </c>
      <c r="W162" s="4">
        <v>36</v>
      </c>
      <c r="X162" s="4">
        <v>6</v>
      </c>
      <c r="Y162" s="4">
        <v>-12</v>
      </c>
      <c r="Z162" s="4">
        <v>0</v>
      </c>
      <c r="AA162" s="4">
        <v>0</v>
      </c>
      <c r="AB162" s="4">
        <v>0</v>
      </c>
      <c r="AC162" s="4">
        <v>0</v>
      </c>
      <c r="AD162" s="4"/>
      <c r="AE162" s="54">
        <v>2.183914184570312E-4</v>
      </c>
      <c r="AF162" s="54">
        <v>0.32259750366210938</v>
      </c>
    </row>
    <row r="163" spans="1:32" x14ac:dyDescent="0.2">
      <c r="A163" s="53" t="s">
        <v>2243</v>
      </c>
      <c r="B163" s="53" t="s">
        <v>2522</v>
      </c>
      <c r="C163" s="54" t="s">
        <v>3185</v>
      </c>
      <c r="D163" s="13" t="s">
        <v>1079</v>
      </c>
      <c r="E163" s="4" t="s">
        <v>1081</v>
      </c>
      <c r="F163" s="4" t="s">
        <v>1080</v>
      </c>
      <c r="G163" s="4" t="s">
        <v>365</v>
      </c>
      <c r="H163" s="4">
        <v>337</v>
      </c>
      <c r="I163" s="5">
        <f t="shared" si="12"/>
        <v>263.14782582893514</v>
      </c>
      <c r="J163" s="4">
        <v>3108</v>
      </c>
      <c r="K163" s="5">
        <f t="shared" si="13"/>
        <v>1677.9202858295096</v>
      </c>
      <c r="L163" s="5">
        <v>0</v>
      </c>
      <c r="M163" s="5">
        <v>0</v>
      </c>
      <c r="N163" s="4">
        <v>0</v>
      </c>
      <c r="O163" s="5">
        <f t="shared" si="14"/>
        <v>0</v>
      </c>
      <c r="P163" s="4">
        <v>0</v>
      </c>
      <c r="Q163" s="4">
        <v>0</v>
      </c>
      <c r="R163" s="4">
        <v>1</v>
      </c>
      <c r="S163" s="5">
        <f t="shared" si="15"/>
        <v>0.33333333333333331</v>
      </c>
      <c r="T163" s="5">
        <f t="shared" si="16"/>
        <v>6.3763410567574947</v>
      </c>
      <c r="U163" s="5">
        <f t="shared" si="17"/>
        <v>5.2276584700574412E-2</v>
      </c>
      <c r="V163" s="4">
        <v>48</v>
      </c>
      <c r="W163" s="4">
        <v>14</v>
      </c>
      <c r="X163" s="4">
        <v>1</v>
      </c>
      <c r="Y163" s="4">
        <v>23</v>
      </c>
      <c r="Z163" s="4">
        <v>0</v>
      </c>
      <c r="AA163" s="4">
        <v>0</v>
      </c>
      <c r="AB163" s="4">
        <v>0</v>
      </c>
      <c r="AC163" s="4">
        <v>0</v>
      </c>
      <c r="AD163" s="4"/>
      <c r="AE163" s="54">
        <v>2.188682556152344E-4</v>
      </c>
      <c r="AF163" s="54">
        <v>0.32259750366210938</v>
      </c>
    </row>
    <row r="164" spans="1:32" x14ac:dyDescent="0.2">
      <c r="A164" s="53" t="s">
        <v>2683</v>
      </c>
      <c r="B164" s="53" t="s">
        <v>2703</v>
      </c>
      <c r="C164" s="54" t="s">
        <v>2891</v>
      </c>
      <c r="D164" s="13" t="s">
        <v>590</v>
      </c>
      <c r="E164" s="4" t="s">
        <v>592</v>
      </c>
      <c r="F164" s="4" t="s">
        <v>591</v>
      </c>
      <c r="G164" s="4" t="s">
        <v>34</v>
      </c>
      <c r="H164" s="4">
        <v>353</v>
      </c>
      <c r="I164" s="5">
        <f t="shared" si="12"/>
        <v>275.64149115019023</v>
      </c>
      <c r="J164" s="4">
        <v>5135</v>
      </c>
      <c r="K164" s="5">
        <f t="shared" si="13"/>
        <v>2772.2395970831831</v>
      </c>
      <c r="L164" s="5">
        <v>0</v>
      </c>
      <c r="M164" s="5">
        <v>0</v>
      </c>
      <c r="N164" s="4">
        <v>0</v>
      </c>
      <c r="O164" s="5">
        <f t="shared" si="14"/>
        <v>0</v>
      </c>
      <c r="P164" s="4">
        <v>1</v>
      </c>
      <c r="Q164" s="4">
        <v>0</v>
      </c>
      <c r="R164" s="4">
        <v>0</v>
      </c>
      <c r="S164" s="5">
        <f t="shared" si="15"/>
        <v>0.33333333333333331</v>
      </c>
      <c r="T164" s="5">
        <f t="shared" si="16"/>
        <v>10.057410390269069</v>
      </c>
      <c r="U164" s="5">
        <f t="shared" si="17"/>
        <v>3.3143057745346267E-2</v>
      </c>
      <c r="V164" s="4">
        <v>7</v>
      </c>
      <c r="W164" s="4">
        <v>-4</v>
      </c>
      <c r="X164" s="4">
        <v>2</v>
      </c>
      <c r="Y164" s="4">
        <v>-3</v>
      </c>
      <c r="Z164" s="4">
        <v>0</v>
      </c>
      <c r="AA164" s="4">
        <v>0</v>
      </c>
      <c r="AB164" s="4">
        <v>0</v>
      </c>
      <c r="AC164" s="4">
        <v>0</v>
      </c>
      <c r="AD164" s="4"/>
      <c r="AE164" s="54">
        <v>7.3480606079101562E-4</v>
      </c>
      <c r="AF164" s="54">
        <v>0.59192442893981934</v>
      </c>
    </row>
    <row r="165" spans="1:32" x14ac:dyDescent="0.2">
      <c r="A165" s="53" t="s">
        <v>2236</v>
      </c>
      <c r="B165" s="53" t="s">
        <v>2237</v>
      </c>
      <c r="C165" s="54" t="s">
        <v>2859</v>
      </c>
      <c r="D165" s="8" t="s">
        <v>260</v>
      </c>
      <c r="E165" s="9" t="s">
        <v>262</v>
      </c>
      <c r="F165" s="4" t="s">
        <v>261</v>
      </c>
      <c r="G165" s="4" t="s">
        <v>164</v>
      </c>
      <c r="H165" s="4">
        <v>1176</v>
      </c>
      <c r="I165" s="5">
        <f t="shared" si="12"/>
        <v>918.28440111224859</v>
      </c>
      <c r="J165" s="4">
        <v>2409</v>
      </c>
      <c r="K165" s="5">
        <f t="shared" si="13"/>
        <v>1300.5501829354212</v>
      </c>
      <c r="L165" s="5">
        <v>0</v>
      </c>
      <c r="M165" s="5">
        <v>0</v>
      </c>
      <c r="N165" s="4">
        <v>0</v>
      </c>
      <c r="O165" s="5">
        <f t="shared" si="14"/>
        <v>0</v>
      </c>
      <c r="P165" s="4">
        <v>0</v>
      </c>
      <c r="Q165" s="4">
        <v>0</v>
      </c>
      <c r="R165" s="4">
        <v>0</v>
      </c>
      <c r="S165" s="5">
        <f t="shared" si="15"/>
        <v>0</v>
      </c>
      <c r="T165" s="5">
        <f t="shared" si="16"/>
        <v>1.4162825605663811</v>
      </c>
      <c r="U165" s="5">
        <f t="shared" si="17"/>
        <v>0</v>
      </c>
      <c r="V165" s="4">
        <v>31</v>
      </c>
      <c r="W165" s="4">
        <v>17</v>
      </c>
      <c r="X165" s="4">
        <v>-17</v>
      </c>
      <c r="Y165" s="4">
        <v>2</v>
      </c>
      <c r="Z165" s="4">
        <v>0</v>
      </c>
      <c r="AA165" s="4">
        <v>0</v>
      </c>
      <c r="AB165" s="4">
        <v>0</v>
      </c>
      <c r="AC165" s="4">
        <v>0</v>
      </c>
      <c r="AD165" s="4"/>
      <c r="AE165" s="54">
        <v>6.0856342315673828E-4</v>
      </c>
      <c r="AF165" s="54">
        <v>0.54511702060699463</v>
      </c>
    </row>
    <row r="166" spans="1:32" x14ac:dyDescent="0.2">
      <c r="A166" s="53" t="s">
        <v>2236</v>
      </c>
      <c r="B166" s="53" t="s">
        <v>2238</v>
      </c>
      <c r="C166" s="54" t="s">
        <v>2860</v>
      </c>
      <c r="D166" s="8" t="s">
        <v>263</v>
      </c>
      <c r="E166" s="9" t="s">
        <v>265</v>
      </c>
      <c r="F166" s="9" t="s">
        <v>264</v>
      </c>
      <c r="G166" s="4" t="s">
        <v>66</v>
      </c>
      <c r="H166" s="4">
        <v>1477</v>
      </c>
      <c r="I166" s="5">
        <f t="shared" si="12"/>
        <v>1153.3214799683599</v>
      </c>
      <c r="J166" s="4">
        <v>3006</v>
      </c>
      <c r="K166" s="5">
        <f t="shared" si="13"/>
        <v>1622.8534038621319</v>
      </c>
      <c r="L166" s="5">
        <v>0</v>
      </c>
      <c r="M166" s="5">
        <v>0</v>
      </c>
      <c r="N166" s="4">
        <v>0</v>
      </c>
      <c r="O166" s="5">
        <f t="shared" si="14"/>
        <v>0</v>
      </c>
      <c r="P166" s="4">
        <v>0</v>
      </c>
      <c r="Q166" s="4">
        <v>0</v>
      </c>
      <c r="R166" s="4">
        <v>0</v>
      </c>
      <c r="S166" s="5">
        <f t="shared" si="15"/>
        <v>0</v>
      </c>
      <c r="T166" s="5">
        <f t="shared" si="16"/>
        <v>1.4071127886273767</v>
      </c>
      <c r="U166" s="5">
        <f t="shared" si="17"/>
        <v>0</v>
      </c>
      <c r="V166" s="4">
        <v>-1</v>
      </c>
      <c r="W166" s="4">
        <v>46</v>
      </c>
      <c r="X166" s="4">
        <v>47</v>
      </c>
      <c r="Y166" s="4">
        <v>-39</v>
      </c>
      <c r="Z166" s="4">
        <v>0</v>
      </c>
      <c r="AA166" s="4">
        <v>0</v>
      </c>
      <c r="AB166" s="4">
        <v>0</v>
      </c>
      <c r="AC166" s="4">
        <v>0</v>
      </c>
      <c r="AD166" s="4"/>
      <c r="AE166" s="54">
        <v>5.5009126663208008E-4</v>
      </c>
      <c r="AF166" s="54">
        <v>0.51187217235565186</v>
      </c>
    </row>
    <row r="167" spans="1:32" x14ac:dyDescent="0.2">
      <c r="A167" s="53" t="s">
        <v>2236</v>
      </c>
      <c r="B167" s="53" t="s">
        <v>2235</v>
      </c>
      <c r="C167" s="54" t="s">
        <v>2861</v>
      </c>
      <c r="D167" s="8" t="s">
        <v>61</v>
      </c>
      <c r="E167" s="9" t="s">
        <v>63</v>
      </c>
      <c r="F167" s="9" t="s">
        <v>62</v>
      </c>
      <c r="G167" s="4" t="s">
        <v>335</v>
      </c>
      <c r="H167" s="4">
        <v>322</v>
      </c>
      <c r="I167" s="5">
        <f t="shared" si="12"/>
        <v>251.43501459025853</v>
      </c>
      <c r="J167" s="4">
        <v>2435</v>
      </c>
      <c r="K167" s="5">
        <f t="shared" si="13"/>
        <v>1314.5868391231841</v>
      </c>
      <c r="L167" s="5">
        <v>0</v>
      </c>
      <c r="M167" s="5">
        <v>0</v>
      </c>
      <c r="N167" s="4">
        <v>0</v>
      </c>
      <c r="O167" s="5">
        <f t="shared" si="14"/>
        <v>0</v>
      </c>
      <c r="P167" s="4">
        <v>0</v>
      </c>
      <c r="Q167" s="4">
        <v>0</v>
      </c>
      <c r="R167" s="4">
        <v>0</v>
      </c>
      <c r="S167" s="5">
        <f t="shared" si="15"/>
        <v>0</v>
      </c>
      <c r="T167" s="5">
        <f t="shared" si="16"/>
        <v>5.2283364004231885</v>
      </c>
      <c r="U167" s="5">
        <f t="shared" si="17"/>
        <v>0</v>
      </c>
      <c r="V167" s="4">
        <v>3</v>
      </c>
      <c r="W167" s="4">
        <v>-19</v>
      </c>
      <c r="X167" s="4">
        <v>3</v>
      </c>
      <c r="Y167" s="4">
        <v>-50</v>
      </c>
      <c r="Z167" s="4">
        <v>0</v>
      </c>
      <c r="AA167" s="4">
        <v>0</v>
      </c>
      <c r="AB167" s="4">
        <v>0.5</v>
      </c>
      <c r="AC167" s="4">
        <v>0.01</v>
      </c>
      <c r="AD167" s="4"/>
      <c r="AE167" s="54">
        <v>1.0320544242858889E-4</v>
      </c>
      <c r="AF167" s="54">
        <v>0.2267112135887146</v>
      </c>
    </row>
    <row r="168" spans="1:32" x14ac:dyDescent="0.2">
      <c r="A168" s="53" t="s">
        <v>2620</v>
      </c>
      <c r="B168" s="53" t="s">
        <v>2646</v>
      </c>
      <c r="C168" s="54" t="s">
        <v>2862</v>
      </c>
      <c r="D168" s="8" t="s">
        <v>373</v>
      </c>
      <c r="E168" s="9" t="s">
        <v>2645</v>
      </c>
      <c r="F168" s="9" t="s">
        <v>374</v>
      </c>
      <c r="G168" s="4" t="s">
        <v>1436</v>
      </c>
      <c r="H168" s="4">
        <v>3568</v>
      </c>
      <c r="I168" s="5">
        <f t="shared" si="12"/>
        <v>2786.0873666398834</v>
      </c>
      <c r="J168" s="4">
        <v>4123</v>
      </c>
      <c r="K168" s="5">
        <f t="shared" si="13"/>
        <v>2225.8897485441016</v>
      </c>
      <c r="L168" s="5">
        <v>0</v>
      </c>
      <c r="M168" s="5">
        <v>0</v>
      </c>
      <c r="N168" s="4">
        <v>0</v>
      </c>
      <c r="O168" s="5">
        <f t="shared" si="14"/>
        <v>0</v>
      </c>
      <c r="P168" s="4">
        <v>0</v>
      </c>
      <c r="Q168" s="4">
        <v>0</v>
      </c>
      <c r="R168" s="4">
        <v>0</v>
      </c>
      <c r="S168" s="5">
        <f t="shared" si="15"/>
        <v>0</v>
      </c>
      <c r="T168" s="5">
        <f t="shared" si="16"/>
        <v>0.7989303476971007</v>
      </c>
      <c r="U168" s="5">
        <f t="shared" si="17"/>
        <v>0</v>
      </c>
      <c r="V168" s="4">
        <v>-36</v>
      </c>
      <c r="W168" s="4">
        <v>-16</v>
      </c>
      <c r="X168" s="4">
        <v>34</v>
      </c>
      <c r="Y168" s="4">
        <v>-16</v>
      </c>
      <c r="Z168" s="4">
        <v>0</v>
      </c>
      <c r="AA168" s="4">
        <v>0</v>
      </c>
      <c r="AB168" s="4">
        <v>0</v>
      </c>
      <c r="AC168" s="4">
        <v>0</v>
      </c>
      <c r="AD168" s="4"/>
      <c r="AE168" s="54">
        <v>1.8517971038818359E-2</v>
      </c>
      <c r="AF168" s="54">
        <v>0.99947065114974976</v>
      </c>
    </row>
    <row r="169" spans="1:32" x14ac:dyDescent="0.2">
      <c r="A169" s="53" t="s">
        <v>2620</v>
      </c>
      <c r="B169" s="53" t="s">
        <v>2648</v>
      </c>
      <c r="C169" s="54" t="s">
        <v>2863</v>
      </c>
      <c r="D169" s="8" t="s">
        <v>375</v>
      </c>
      <c r="E169" s="9" t="s">
        <v>2647</v>
      </c>
      <c r="F169" s="9" t="s">
        <v>376</v>
      </c>
      <c r="G169" s="4" t="s">
        <v>1436</v>
      </c>
      <c r="H169" s="4">
        <v>5213</v>
      </c>
      <c r="I169" s="5">
        <f t="shared" si="12"/>
        <v>4070.5923324814212</v>
      </c>
      <c r="J169" s="4">
        <v>2325</v>
      </c>
      <c r="K169" s="5">
        <f t="shared" si="13"/>
        <v>1255.2009860211099</v>
      </c>
      <c r="L169" s="5">
        <v>0</v>
      </c>
      <c r="M169" s="5">
        <v>0</v>
      </c>
      <c r="N169" s="4">
        <v>0</v>
      </c>
      <c r="O169" s="5">
        <f t="shared" si="14"/>
        <v>0</v>
      </c>
      <c r="P169" s="4">
        <v>0</v>
      </c>
      <c r="Q169" s="4">
        <v>0</v>
      </c>
      <c r="R169" s="4">
        <v>0</v>
      </c>
      <c r="S169" s="5">
        <f t="shared" si="15"/>
        <v>0</v>
      </c>
      <c r="T169" s="5">
        <f t="shared" si="16"/>
        <v>0.30835831336024333</v>
      </c>
      <c r="U169" s="5">
        <f t="shared" si="17"/>
        <v>0</v>
      </c>
      <c r="V169" s="4">
        <v>26</v>
      </c>
      <c r="W169" s="4">
        <v>48</v>
      </c>
      <c r="X169" s="4">
        <v>-16</v>
      </c>
      <c r="Y169" s="4">
        <v>28</v>
      </c>
      <c r="Z169" s="4">
        <v>0</v>
      </c>
      <c r="AA169" s="4">
        <v>0</v>
      </c>
      <c r="AB169" s="4">
        <v>0</v>
      </c>
      <c r="AC169" s="4">
        <v>0</v>
      </c>
      <c r="AD169" s="4"/>
      <c r="AE169" s="54">
        <v>-5.1856040954589844E-4</v>
      </c>
      <c r="AF169" s="54">
        <v>-0.53695803880691528</v>
      </c>
    </row>
    <row r="170" spans="1:32" x14ac:dyDescent="0.2">
      <c r="A170" s="53" t="s">
        <v>2620</v>
      </c>
      <c r="B170" s="53" t="s">
        <v>2650</v>
      </c>
      <c r="C170" s="54" t="s">
        <v>2864</v>
      </c>
      <c r="D170" s="8" t="s">
        <v>377</v>
      </c>
      <c r="E170" s="9" t="s">
        <v>2649</v>
      </c>
      <c r="F170" s="9" t="s">
        <v>378</v>
      </c>
      <c r="G170" s="4" t="s">
        <v>1436</v>
      </c>
      <c r="H170" s="4">
        <v>3091</v>
      </c>
      <c r="I170" s="5">
        <f t="shared" si="12"/>
        <v>2413.6199692499663</v>
      </c>
      <c r="J170" s="4">
        <v>3775</v>
      </c>
      <c r="K170" s="5">
        <f t="shared" si="13"/>
        <v>2038.0145041848132</v>
      </c>
      <c r="L170" s="5">
        <v>0</v>
      </c>
      <c r="M170" s="5">
        <v>0</v>
      </c>
      <c r="N170" s="4">
        <v>0</v>
      </c>
      <c r="O170" s="5">
        <f t="shared" si="14"/>
        <v>0</v>
      </c>
      <c r="P170" s="4">
        <v>0</v>
      </c>
      <c r="Q170" s="4">
        <v>0</v>
      </c>
      <c r="R170" s="4">
        <v>0</v>
      </c>
      <c r="S170" s="5">
        <f t="shared" si="15"/>
        <v>0</v>
      </c>
      <c r="T170" s="5">
        <f t="shared" si="16"/>
        <v>0.84438085951788311</v>
      </c>
      <c r="U170" s="5">
        <f t="shared" si="17"/>
        <v>0</v>
      </c>
      <c r="V170" s="4">
        <v>-26</v>
      </c>
      <c r="W170" s="4">
        <v>-44</v>
      </c>
      <c r="X170" s="4">
        <v>1</v>
      </c>
      <c r="Y170" s="4">
        <v>-13</v>
      </c>
      <c r="Z170" s="4">
        <v>0</v>
      </c>
      <c r="AA170" s="4">
        <v>0</v>
      </c>
      <c r="AB170" s="4">
        <v>0</v>
      </c>
      <c r="AC170" s="4">
        <v>0</v>
      </c>
      <c r="AD170" s="4"/>
      <c r="AE170" s="54">
        <v>9.7870826721191406E-5</v>
      </c>
      <c r="AF170" s="54">
        <v>0.28066122531890869</v>
      </c>
    </row>
    <row r="171" spans="1:32" x14ac:dyDescent="0.2">
      <c r="A171" s="53" t="s">
        <v>2620</v>
      </c>
      <c r="B171" s="53" t="s">
        <v>2619</v>
      </c>
      <c r="C171" s="54" t="s">
        <v>2865</v>
      </c>
      <c r="D171" s="8" t="s">
        <v>317</v>
      </c>
      <c r="E171" s="9" t="s">
        <v>2618</v>
      </c>
      <c r="F171" s="9" t="s">
        <v>318</v>
      </c>
      <c r="G171" s="4" t="s">
        <v>1436</v>
      </c>
      <c r="H171" s="4">
        <v>644</v>
      </c>
      <c r="I171" s="5">
        <f t="shared" si="12"/>
        <v>502.87002918051707</v>
      </c>
      <c r="J171" s="4">
        <v>1710</v>
      </c>
      <c r="K171" s="5">
        <f t="shared" si="13"/>
        <v>923.18008004133253</v>
      </c>
      <c r="L171" s="5">
        <v>0</v>
      </c>
      <c r="M171" s="5">
        <v>0</v>
      </c>
      <c r="N171" s="4">
        <v>0</v>
      </c>
      <c r="O171" s="5">
        <f t="shared" si="14"/>
        <v>0</v>
      </c>
      <c r="P171" s="4">
        <v>0</v>
      </c>
      <c r="Q171" s="4">
        <v>0</v>
      </c>
      <c r="R171" s="4">
        <v>0</v>
      </c>
      <c r="S171" s="5">
        <f t="shared" si="15"/>
        <v>0</v>
      </c>
      <c r="T171" s="5">
        <f t="shared" si="16"/>
        <v>1.835822432181448</v>
      </c>
      <c r="U171" s="5">
        <f t="shared" si="17"/>
        <v>0</v>
      </c>
      <c r="V171" s="4">
        <v>2</v>
      </c>
      <c r="W171" s="4">
        <v>-26</v>
      </c>
      <c r="X171" s="4">
        <v>-34</v>
      </c>
      <c r="Y171" s="4">
        <v>29</v>
      </c>
      <c r="Z171" s="4">
        <v>0</v>
      </c>
      <c r="AA171" s="4">
        <v>0</v>
      </c>
      <c r="AB171" s="4">
        <v>0</v>
      </c>
      <c r="AC171" s="4">
        <v>0</v>
      </c>
      <c r="AD171" s="4"/>
      <c r="AE171" s="54">
        <v>-7.7605247497558594E-5</v>
      </c>
      <c r="AF171" s="54">
        <v>-0.2484796196222305</v>
      </c>
    </row>
    <row r="172" spans="1:32" x14ac:dyDescent="0.2">
      <c r="A172" s="53" t="s">
        <v>2620</v>
      </c>
      <c r="B172" s="53" t="s">
        <v>2622</v>
      </c>
      <c r="C172" s="54" t="s">
        <v>2866</v>
      </c>
      <c r="D172" s="8" t="s">
        <v>319</v>
      </c>
      <c r="E172" s="9" t="s">
        <v>2621</v>
      </c>
      <c r="F172" s="9" t="s">
        <v>320</v>
      </c>
      <c r="G172" s="4" t="s">
        <v>1436</v>
      </c>
      <c r="H172" s="4">
        <v>661</v>
      </c>
      <c r="I172" s="5">
        <f t="shared" si="12"/>
        <v>516.14454858435067</v>
      </c>
      <c r="J172" s="4">
        <v>1519</v>
      </c>
      <c r="K172" s="5">
        <f t="shared" si="13"/>
        <v>820.06464420045859</v>
      </c>
      <c r="L172" s="5">
        <v>0</v>
      </c>
      <c r="M172" s="5">
        <v>0</v>
      </c>
      <c r="N172" s="4">
        <v>0</v>
      </c>
      <c r="O172" s="5">
        <f t="shared" si="14"/>
        <v>0</v>
      </c>
      <c r="P172" s="4">
        <v>0</v>
      </c>
      <c r="Q172" s="4">
        <v>0</v>
      </c>
      <c r="R172" s="4">
        <v>0</v>
      </c>
      <c r="S172" s="5">
        <f t="shared" si="15"/>
        <v>0</v>
      </c>
      <c r="T172" s="5">
        <f t="shared" si="16"/>
        <v>1.5888274834049514</v>
      </c>
      <c r="U172" s="5">
        <f t="shared" si="17"/>
        <v>0</v>
      </c>
      <c r="V172" s="4" t="s">
        <v>21</v>
      </c>
      <c r="W172" s="4" t="s">
        <v>21</v>
      </c>
      <c r="X172" s="4" t="s">
        <v>21</v>
      </c>
      <c r="Y172" s="4" t="s">
        <v>21</v>
      </c>
      <c r="Z172" s="10">
        <v>0</v>
      </c>
      <c r="AA172" s="10">
        <v>0</v>
      </c>
      <c r="AB172" s="10">
        <v>0</v>
      </c>
      <c r="AC172" s="10">
        <v>0</v>
      </c>
      <c r="AD172" s="4"/>
      <c r="AE172" s="54">
        <v>-7.4410438537597656E-4</v>
      </c>
      <c r="AF172" s="54">
        <v>-0.62811887264251709</v>
      </c>
    </row>
    <row r="173" spans="1:32" x14ac:dyDescent="0.2">
      <c r="A173" s="53" t="s">
        <v>2620</v>
      </c>
      <c r="B173" s="53" t="s">
        <v>2624</v>
      </c>
      <c r="C173" s="54" t="s">
        <v>2867</v>
      </c>
      <c r="D173" s="8" t="s">
        <v>339</v>
      </c>
      <c r="E173" s="9" t="s">
        <v>2623</v>
      </c>
      <c r="F173" s="9" t="s">
        <v>340</v>
      </c>
      <c r="G173" s="4" t="s">
        <v>1436</v>
      </c>
      <c r="H173" s="4">
        <v>1122</v>
      </c>
      <c r="I173" s="5">
        <f t="shared" si="12"/>
        <v>876.11828065301256</v>
      </c>
      <c r="J173" s="4">
        <v>2788</v>
      </c>
      <c r="K173" s="5">
        <f t="shared" si="13"/>
        <v>1505.161440441658</v>
      </c>
      <c r="L173" s="5">
        <v>0</v>
      </c>
      <c r="M173" s="5">
        <v>0</v>
      </c>
      <c r="N173" s="4">
        <v>0</v>
      </c>
      <c r="O173" s="5">
        <f t="shared" si="14"/>
        <v>0</v>
      </c>
      <c r="P173" s="4">
        <v>0</v>
      </c>
      <c r="Q173" s="4">
        <v>0</v>
      </c>
      <c r="R173" s="4">
        <v>0</v>
      </c>
      <c r="S173" s="5">
        <f t="shared" si="15"/>
        <v>0</v>
      </c>
      <c r="T173" s="5">
        <f t="shared" si="16"/>
        <v>1.7179888534226107</v>
      </c>
      <c r="U173" s="5">
        <f t="shared" si="17"/>
        <v>0</v>
      </c>
      <c r="V173" s="4">
        <v>49</v>
      </c>
      <c r="W173" s="4">
        <v>20</v>
      </c>
      <c r="X173" s="4">
        <v>-23</v>
      </c>
      <c r="Y173" s="4">
        <v>20</v>
      </c>
      <c r="Z173" s="10">
        <v>0</v>
      </c>
      <c r="AA173" s="10">
        <v>0</v>
      </c>
      <c r="AB173" s="10">
        <v>0</v>
      </c>
      <c r="AC173" s="10">
        <v>0</v>
      </c>
      <c r="AD173" s="4"/>
      <c r="AE173" s="54">
        <v>1.8942356109619141E-4</v>
      </c>
      <c r="AF173" s="54">
        <v>0.36330443620681763</v>
      </c>
    </row>
    <row r="174" spans="1:32" x14ac:dyDescent="0.2">
      <c r="A174" s="53" t="s">
        <v>2620</v>
      </c>
      <c r="B174" s="53" t="s">
        <v>2626</v>
      </c>
      <c r="C174" s="54" t="s">
        <v>2868</v>
      </c>
      <c r="D174" s="8" t="s">
        <v>341</v>
      </c>
      <c r="E174" s="9" t="s">
        <v>2625</v>
      </c>
      <c r="F174" s="9" t="s">
        <v>342</v>
      </c>
      <c r="G174" s="4" t="s">
        <v>1436</v>
      </c>
      <c r="H174" s="4">
        <v>212</v>
      </c>
      <c r="I174" s="5">
        <f t="shared" si="12"/>
        <v>165.54106550662982</v>
      </c>
      <c r="J174" s="4">
        <v>1004</v>
      </c>
      <c r="K174" s="5">
        <f t="shared" si="13"/>
        <v>542.03087740438468</v>
      </c>
      <c r="L174" s="5">
        <v>0</v>
      </c>
      <c r="M174" s="5">
        <v>0</v>
      </c>
      <c r="N174" s="4">
        <v>0</v>
      </c>
      <c r="O174" s="5">
        <f t="shared" si="14"/>
        <v>0</v>
      </c>
      <c r="P174" s="4">
        <v>0</v>
      </c>
      <c r="Q174" s="4">
        <v>0</v>
      </c>
      <c r="R174" s="4">
        <v>0</v>
      </c>
      <c r="S174" s="5">
        <f t="shared" si="15"/>
        <v>0</v>
      </c>
      <c r="T174" s="5">
        <f t="shared" si="16"/>
        <v>3.2742985901747543</v>
      </c>
      <c r="U174" s="5">
        <f t="shared" si="17"/>
        <v>0</v>
      </c>
      <c r="V174" s="4">
        <v>-1</v>
      </c>
      <c r="W174" s="4">
        <v>8</v>
      </c>
      <c r="X174" s="4">
        <v>1</v>
      </c>
      <c r="Y174" s="4">
        <v>8</v>
      </c>
      <c r="Z174" s="4">
        <v>0</v>
      </c>
      <c r="AA174" s="4">
        <v>0</v>
      </c>
      <c r="AB174" s="4">
        <v>0</v>
      </c>
      <c r="AC174" s="4">
        <v>0</v>
      </c>
      <c r="AD174" s="4"/>
      <c r="AE174" s="54">
        <v>6.6530704498291016E-4</v>
      </c>
      <c r="AF174" s="54">
        <v>0.60670804977416992</v>
      </c>
    </row>
    <row r="175" spans="1:32" s="58" customFormat="1" x14ac:dyDescent="0.2">
      <c r="A175" s="53" t="s">
        <v>2620</v>
      </c>
      <c r="B175" s="53" t="s">
        <v>2628</v>
      </c>
      <c r="C175" s="54" t="s">
        <v>2869</v>
      </c>
      <c r="D175" s="8" t="s">
        <v>343</v>
      </c>
      <c r="E175" s="9" t="s">
        <v>2627</v>
      </c>
      <c r="F175" s="9" t="s">
        <v>344</v>
      </c>
      <c r="G175" s="4" t="s">
        <v>1436</v>
      </c>
      <c r="H175" s="4">
        <v>239</v>
      </c>
      <c r="I175" s="5">
        <f t="shared" si="12"/>
        <v>186.62412573624778</v>
      </c>
      <c r="J175" s="4">
        <v>2705</v>
      </c>
      <c r="K175" s="5">
        <f t="shared" si="13"/>
        <v>1460.352114919184</v>
      </c>
      <c r="L175" s="5">
        <v>0</v>
      </c>
      <c r="M175" s="5">
        <v>0</v>
      </c>
      <c r="N175" s="4">
        <v>0</v>
      </c>
      <c r="O175" s="5">
        <f t="shared" si="14"/>
        <v>0</v>
      </c>
      <c r="P175" s="4">
        <v>0</v>
      </c>
      <c r="Q175" s="4">
        <v>0</v>
      </c>
      <c r="R175" s="4">
        <v>0</v>
      </c>
      <c r="S175" s="5">
        <f t="shared" si="15"/>
        <v>0</v>
      </c>
      <c r="T175" s="5">
        <f t="shared" si="16"/>
        <v>7.8250982243478591</v>
      </c>
      <c r="U175" s="5">
        <f t="shared" si="17"/>
        <v>0</v>
      </c>
      <c r="V175" s="4">
        <v>-2</v>
      </c>
      <c r="W175" s="4">
        <v>16</v>
      </c>
      <c r="X175" s="4">
        <v>16</v>
      </c>
      <c r="Y175" s="4">
        <v>-8</v>
      </c>
      <c r="Z175" s="4">
        <v>0</v>
      </c>
      <c r="AA175" s="4">
        <v>0</v>
      </c>
      <c r="AB175" s="4">
        <v>0</v>
      </c>
      <c r="AC175" s="4">
        <v>0</v>
      </c>
      <c r="AD175" s="4"/>
      <c r="AE175" s="54">
        <v>-8.6283683776855469E-4</v>
      </c>
      <c r="AF175" s="54">
        <v>-0.66821938753128052</v>
      </c>
    </row>
    <row r="176" spans="1:32" x14ac:dyDescent="0.2">
      <c r="A176" s="53" t="s">
        <v>2620</v>
      </c>
      <c r="B176" s="53" t="s">
        <v>2630</v>
      </c>
      <c r="C176" s="54" t="s">
        <v>2870</v>
      </c>
      <c r="D176" s="8" t="s">
        <v>349</v>
      </c>
      <c r="E176" s="9" t="s">
        <v>2629</v>
      </c>
      <c r="F176" s="9" t="s">
        <v>350</v>
      </c>
      <c r="G176" s="4" t="s">
        <v>1436</v>
      </c>
      <c r="H176" s="4">
        <v>485</v>
      </c>
      <c r="I176" s="5">
        <f t="shared" si="12"/>
        <v>378.7142300505447</v>
      </c>
      <c r="J176" s="4">
        <v>3162</v>
      </c>
      <c r="K176" s="5">
        <f t="shared" si="13"/>
        <v>1707.0733409887096</v>
      </c>
      <c r="L176" s="5">
        <v>0</v>
      </c>
      <c r="M176" s="5">
        <v>0</v>
      </c>
      <c r="N176" s="4">
        <v>0</v>
      </c>
      <c r="O176" s="5">
        <f t="shared" si="14"/>
        <v>0</v>
      </c>
      <c r="P176" s="4">
        <v>0</v>
      </c>
      <c r="Q176" s="4">
        <v>0</v>
      </c>
      <c r="R176" s="4">
        <v>0</v>
      </c>
      <c r="S176" s="5">
        <f t="shared" si="15"/>
        <v>0</v>
      </c>
      <c r="T176" s="5">
        <f t="shared" si="16"/>
        <v>4.5075500351831952</v>
      </c>
      <c r="U176" s="5">
        <f t="shared" si="17"/>
        <v>0</v>
      </c>
      <c r="V176" s="4">
        <v>-26</v>
      </c>
      <c r="W176" s="4">
        <v>-1</v>
      </c>
      <c r="X176" s="4">
        <v>2</v>
      </c>
      <c r="Y176" s="4">
        <v>-26</v>
      </c>
      <c r="Z176" s="4">
        <v>0</v>
      </c>
      <c r="AA176" s="4">
        <v>0</v>
      </c>
      <c r="AB176" s="4">
        <v>0</v>
      </c>
      <c r="AC176" s="4">
        <v>0</v>
      </c>
      <c r="AD176" s="4"/>
      <c r="AE176" s="54">
        <v>-1.2224912643432619E-3</v>
      </c>
      <c r="AF176" s="54">
        <v>-0.7631148099899292</v>
      </c>
    </row>
    <row r="177" spans="1:32" x14ac:dyDescent="0.2">
      <c r="A177" s="53" t="s">
        <v>2620</v>
      </c>
      <c r="B177" s="53" t="s">
        <v>2632</v>
      </c>
      <c r="C177" s="54" t="s">
        <v>2871</v>
      </c>
      <c r="D177" s="8" t="s">
        <v>359</v>
      </c>
      <c r="E177" s="9" t="s">
        <v>2631</v>
      </c>
      <c r="F177" s="9" t="s">
        <v>360</v>
      </c>
      <c r="G177" s="4" t="s">
        <v>1436</v>
      </c>
      <c r="H177" s="4">
        <v>609</v>
      </c>
      <c r="I177" s="5">
        <f t="shared" si="12"/>
        <v>475.54013629027162</v>
      </c>
      <c r="J177" s="4">
        <v>3668</v>
      </c>
      <c r="K177" s="5">
        <f t="shared" si="13"/>
        <v>1980.2482652582503</v>
      </c>
      <c r="L177" s="5">
        <v>0</v>
      </c>
      <c r="M177" s="5">
        <v>0</v>
      </c>
      <c r="N177" s="4">
        <v>0</v>
      </c>
      <c r="O177" s="5">
        <f t="shared" si="14"/>
        <v>0</v>
      </c>
      <c r="P177" s="4">
        <v>0</v>
      </c>
      <c r="Q177" s="4">
        <v>0</v>
      </c>
      <c r="R177" s="4">
        <v>0</v>
      </c>
      <c r="S177" s="5">
        <f t="shared" si="15"/>
        <v>0</v>
      </c>
      <c r="T177" s="5">
        <f t="shared" si="16"/>
        <v>4.164208473981466</v>
      </c>
      <c r="U177" s="5">
        <f t="shared" si="17"/>
        <v>0</v>
      </c>
      <c r="V177" s="4">
        <v>50</v>
      </c>
      <c r="W177" s="4">
        <v>-7</v>
      </c>
      <c r="X177" s="4">
        <v>50</v>
      </c>
      <c r="Y177" s="4">
        <v>-7</v>
      </c>
      <c r="Z177" s="4">
        <v>0</v>
      </c>
      <c r="AA177" s="4">
        <v>0</v>
      </c>
      <c r="AB177" s="4">
        <v>0</v>
      </c>
      <c r="AC177" s="4">
        <v>0</v>
      </c>
      <c r="AD177" s="4"/>
      <c r="AE177" s="54">
        <v>1.4214515686035161E-3</v>
      </c>
      <c r="AF177" s="54">
        <v>0.80316084623336792</v>
      </c>
    </row>
    <row r="178" spans="1:32" x14ac:dyDescent="0.2">
      <c r="A178" s="53" t="s">
        <v>2620</v>
      </c>
      <c r="B178" s="53" t="s">
        <v>2634</v>
      </c>
      <c r="C178" s="54" t="s">
        <v>2872</v>
      </c>
      <c r="D178" s="8" t="s">
        <v>361</v>
      </c>
      <c r="E178" s="9" t="s">
        <v>2633</v>
      </c>
      <c r="F178" s="9" t="s">
        <v>362</v>
      </c>
      <c r="G178" s="11" t="s">
        <v>1436</v>
      </c>
      <c r="H178" s="4">
        <v>632</v>
      </c>
      <c r="I178" s="5">
        <f t="shared" si="12"/>
        <v>493.49978018957569</v>
      </c>
      <c r="J178" s="4">
        <v>1697</v>
      </c>
      <c r="K178" s="5">
        <f t="shared" si="13"/>
        <v>916.16175194745108</v>
      </c>
      <c r="L178" s="5">
        <v>0</v>
      </c>
      <c r="M178" s="5">
        <v>0</v>
      </c>
      <c r="N178" s="4">
        <v>0</v>
      </c>
      <c r="O178" s="5">
        <f t="shared" si="14"/>
        <v>0</v>
      </c>
      <c r="P178" s="4">
        <v>0</v>
      </c>
      <c r="Q178" s="4">
        <v>0</v>
      </c>
      <c r="R178" s="4">
        <v>0</v>
      </c>
      <c r="S178" s="5">
        <f t="shared" si="15"/>
        <v>0</v>
      </c>
      <c r="T178" s="5">
        <f t="shared" si="16"/>
        <v>1.8564582776420118</v>
      </c>
      <c r="U178" s="5">
        <f t="shared" si="17"/>
        <v>0</v>
      </c>
      <c r="V178" s="4">
        <v>39</v>
      </c>
      <c r="W178" s="4">
        <v>-29</v>
      </c>
      <c r="X178" s="4">
        <v>-29</v>
      </c>
      <c r="Y178" s="4">
        <v>6</v>
      </c>
      <c r="Z178" s="4">
        <v>0</v>
      </c>
      <c r="AA178" s="4">
        <v>0</v>
      </c>
      <c r="AB178" s="4">
        <v>0</v>
      </c>
      <c r="AC178" s="4">
        <v>0</v>
      </c>
      <c r="AD178" s="4"/>
      <c r="AE178" s="54">
        <v>-1.082062721252441E-3</v>
      </c>
      <c r="AF178" s="54">
        <v>-0.72725653648376465</v>
      </c>
    </row>
    <row r="179" spans="1:32" x14ac:dyDescent="0.2">
      <c r="A179" s="53" t="s">
        <v>2620</v>
      </c>
      <c r="B179" s="53" t="s">
        <v>2636</v>
      </c>
      <c r="C179" s="54" t="s">
        <v>2873</v>
      </c>
      <c r="D179" s="8" t="s">
        <v>363</v>
      </c>
      <c r="E179" s="9" t="s">
        <v>2635</v>
      </c>
      <c r="F179" s="9" t="s">
        <v>364</v>
      </c>
      <c r="G179" s="4" t="s">
        <v>1436</v>
      </c>
      <c r="H179" s="4">
        <v>162</v>
      </c>
      <c r="I179" s="5">
        <f t="shared" si="12"/>
        <v>126.49836137770771</v>
      </c>
      <c r="J179" s="4">
        <v>5159</v>
      </c>
      <c r="K179" s="5">
        <f t="shared" si="13"/>
        <v>2785.1965104872716</v>
      </c>
      <c r="L179" s="5">
        <v>0</v>
      </c>
      <c r="M179" s="5">
        <v>0</v>
      </c>
      <c r="N179" s="4">
        <v>0</v>
      </c>
      <c r="O179" s="5">
        <f t="shared" si="14"/>
        <v>0</v>
      </c>
      <c r="P179" s="4">
        <v>0</v>
      </c>
      <c r="Q179" s="4">
        <v>0</v>
      </c>
      <c r="R179" s="4">
        <v>0</v>
      </c>
      <c r="S179" s="5">
        <f t="shared" si="15"/>
        <v>0</v>
      </c>
      <c r="T179" s="5">
        <f t="shared" si="16"/>
        <v>22.017648925672926</v>
      </c>
      <c r="U179" s="5">
        <f t="shared" si="17"/>
        <v>0</v>
      </c>
      <c r="V179" s="4">
        <v>18</v>
      </c>
      <c r="W179" s="4">
        <v>-9</v>
      </c>
      <c r="X179" s="4">
        <v>18</v>
      </c>
      <c r="Y179" s="4">
        <v>5</v>
      </c>
      <c r="Z179" s="4">
        <v>0</v>
      </c>
      <c r="AA179" s="4">
        <v>0</v>
      </c>
      <c r="AB179" s="4">
        <v>0</v>
      </c>
      <c r="AC179" s="4">
        <v>0</v>
      </c>
      <c r="AD179" s="4"/>
      <c r="AE179" s="54">
        <v>-1.7488718032836911E-2</v>
      </c>
      <c r="AF179" s="54">
        <v>-0.99933332204818726</v>
      </c>
    </row>
    <row r="180" spans="1:32" x14ac:dyDescent="0.2">
      <c r="A180" s="53" t="s">
        <v>2620</v>
      </c>
      <c r="B180" s="53" t="s">
        <v>2638</v>
      </c>
      <c r="C180" s="54" t="s">
        <v>2874</v>
      </c>
      <c r="D180" s="8" t="s">
        <v>369</v>
      </c>
      <c r="E180" s="9" t="s">
        <v>2637</v>
      </c>
      <c r="F180" s="9" t="s">
        <v>370</v>
      </c>
      <c r="G180" s="4" t="s">
        <v>1436</v>
      </c>
      <c r="H180" s="4">
        <v>1617</v>
      </c>
      <c r="I180" s="5">
        <f t="shared" si="12"/>
        <v>1262.6410515293417</v>
      </c>
      <c r="J180" s="4">
        <v>2607</v>
      </c>
      <c r="K180" s="5">
        <f t="shared" si="13"/>
        <v>1407.4447185191543</v>
      </c>
      <c r="L180" s="5">
        <v>0</v>
      </c>
      <c r="M180" s="5">
        <v>0</v>
      </c>
      <c r="N180" s="4">
        <v>0</v>
      </c>
      <c r="O180" s="5">
        <f t="shared" si="14"/>
        <v>0</v>
      </c>
      <c r="P180" s="4">
        <v>0</v>
      </c>
      <c r="Q180" s="4">
        <v>0</v>
      </c>
      <c r="R180" s="4">
        <v>0</v>
      </c>
      <c r="S180" s="5">
        <f t="shared" si="15"/>
        <v>0</v>
      </c>
      <c r="T180" s="5">
        <f t="shared" si="16"/>
        <v>1.1146831609937147</v>
      </c>
      <c r="U180" s="5">
        <f t="shared" si="17"/>
        <v>0</v>
      </c>
      <c r="V180" s="4">
        <v>-20</v>
      </c>
      <c r="W180" s="4">
        <v>-50</v>
      </c>
      <c r="X180" s="4">
        <v>19</v>
      </c>
      <c r="Y180" s="4">
        <v>-49</v>
      </c>
      <c r="Z180" s="4">
        <v>0</v>
      </c>
      <c r="AA180" s="4">
        <v>0</v>
      </c>
      <c r="AB180" s="4">
        <v>0</v>
      </c>
      <c r="AC180" s="4">
        <v>0</v>
      </c>
      <c r="AD180" s="4"/>
      <c r="AE180" s="54">
        <v>1.835823059082031E-4</v>
      </c>
      <c r="AF180" s="54">
        <v>0.36330443620681763</v>
      </c>
    </row>
    <row r="181" spans="1:32" x14ac:dyDescent="0.2">
      <c r="A181" s="53" t="s">
        <v>2620</v>
      </c>
      <c r="B181" s="53" t="s">
        <v>2640</v>
      </c>
      <c r="C181" s="54" t="s">
        <v>2875</v>
      </c>
      <c r="D181" s="8" t="s">
        <v>371</v>
      </c>
      <c r="E181" s="9" t="s">
        <v>2639</v>
      </c>
      <c r="F181" s="9" t="s">
        <v>372</v>
      </c>
      <c r="G181" s="4" t="s">
        <v>1436</v>
      </c>
      <c r="H181" s="4">
        <v>1760</v>
      </c>
      <c r="I181" s="5">
        <f t="shared" si="12"/>
        <v>1374.3031853380589</v>
      </c>
      <c r="J181" s="4">
        <v>2280</v>
      </c>
      <c r="K181" s="5">
        <f t="shared" si="13"/>
        <v>1230.9067733884435</v>
      </c>
      <c r="L181" s="5">
        <v>0</v>
      </c>
      <c r="M181" s="5">
        <v>0</v>
      </c>
      <c r="N181" s="4">
        <v>0</v>
      </c>
      <c r="O181" s="5">
        <f t="shared" si="14"/>
        <v>0</v>
      </c>
      <c r="P181" s="4">
        <v>0</v>
      </c>
      <c r="Q181" s="4">
        <v>0</v>
      </c>
      <c r="R181" s="4">
        <v>0</v>
      </c>
      <c r="S181" s="5">
        <f t="shared" si="15"/>
        <v>0</v>
      </c>
      <c r="T181" s="5">
        <f t="shared" si="16"/>
        <v>0.89565882297337329</v>
      </c>
      <c r="U181" s="5">
        <f t="shared" si="17"/>
        <v>0</v>
      </c>
      <c r="V181" s="4">
        <v>7</v>
      </c>
      <c r="W181" s="4">
        <v>-35</v>
      </c>
      <c r="X181" s="4">
        <v>9</v>
      </c>
      <c r="Y181" s="4">
        <v>-30</v>
      </c>
      <c r="Z181" s="4">
        <v>0</v>
      </c>
      <c r="AA181" s="4">
        <v>0</v>
      </c>
      <c r="AB181" s="4">
        <v>0</v>
      </c>
      <c r="AC181" s="4">
        <v>0</v>
      </c>
      <c r="AD181" s="4"/>
      <c r="AE181" s="54">
        <v>-4.4667720794677729E-4</v>
      </c>
      <c r="AF181" s="54">
        <v>-0.50330859422683716</v>
      </c>
    </row>
    <row r="182" spans="1:32" x14ac:dyDescent="0.2">
      <c r="A182" s="53" t="s">
        <v>2620</v>
      </c>
      <c r="B182" s="53" t="s">
        <v>2642</v>
      </c>
      <c r="C182" s="54" t="s">
        <v>2876</v>
      </c>
      <c r="D182" s="8" t="s">
        <v>205</v>
      </c>
      <c r="E182" s="9" t="s">
        <v>2641</v>
      </c>
      <c r="F182" s="9" t="s">
        <v>206</v>
      </c>
      <c r="G182" s="4" t="s">
        <v>1436</v>
      </c>
      <c r="H182" s="4">
        <v>5928</v>
      </c>
      <c r="I182" s="5">
        <f t="shared" si="12"/>
        <v>4628.9030015250073</v>
      </c>
      <c r="J182" s="4">
        <v>4602</v>
      </c>
      <c r="K182" s="5">
        <f t="shared" si="13"/>
        <v>2484.4881452340423</v>
      </c>
      <c r="L182" s="5">
        <v>0</v>
      </c>
      <c r="M182" s="5">
        <v>0</v>
      </c>
      <c r="N182" s="4">
        <v>0</v>
      </c>
      <c r="O182" s="5">
        <f t="shared" si="14"/>
        <v>0</v>
      </c>
      <c r="P182" s="4">
        <v>0</v>
      </c>
      <c r="Q182" s="4">
        <v>0</v>
      </c>
      <c r="R182" s="4">
        <v>0</v>
      </c>
      <c r="S182" s="5">
        <f t="shared" si="15"/>
        <v>0</v>
      </c>
      <c r="T182" s="5">
        <f t="shared" si="16"/>
        <v>0.53673368061839266</v>
      </c>
      <c r="U182" s="5">
        <f t="shared" si="17"/>
        <v>0</v>
      </c>
      <c r="V182" s="4">
        <v>-44</v>
      </c>
      <c r="W182" s="4">
        <v>5</v>
      </c>
      <c r="X182" s="4">
        <v>26</v>
      </c>
      <c r="Y182" s="4">
        <v>-25</v>
      </c>
      <c r="Z182" s="4">
        <v>0</v>
      </c>
      <c r="AA182" s="4">
        <v>0.01</v>
      </c>
      <c r="AB182" s="4">
        <v>0</v>
      </c>
      <c r="AC182" s="4">
        <v>0</v>
      </c>
      <c r="AD182" s="4"/>
      <c r="AE182" s="54">
        <v>1.4442205429077151E-3</v>
      </c>
      <c r="AF182" s="54">
        <v>0.80721759796142578</v>
      </c>
    </row>
    <row r="183" spans="1:32" x14ac:dyDescent="0.2">
      <c r="A183" s="53" t="s">
        <v>2620</v>
      </c>
      <c r="B183" s="53" t="s">
        <v>2644</v>
      </c>
      <c r="C183" s="54" t="s">
        <v>2877</v>
      </c>
      <c r="D183" s="8" t="s">
        <v>88</v>
      </c>
      <c r="E183" s="9" t="s">
        <v>2643</v>
      </c>
      <c r="F183" s="9" t="s">
        <v>89</v>
      </c>
      <c r="G183" s="4" t="s">
        <v>1436</v>
      </c>
      <c r="H183" s="4">
        <v>3359</v>
      </c>
      <c r="I183" s="5">
        <f t="shared" si="12"/>
        <v>2622.8888633809888</v>
      </c>
      <c r="J183" s="4">
        <v>4430</v>
      </c>
      <c r="K183" s="5">
        <f t="shared" si="13"/>
        <v>2391.6302658380723</v>
      </c>
      <c r="L183" s="5">
        <v>0</v>
      </c>
      <c r="M183" s="5">
        <v>0</v>
      </c>
      <c r="N183" s="4">
        <v>0</v>
      </c>
      <c r="O183" s="5">
        <f t="shared" si="14"/>
        <v>0</v>
      </c>
      <c r="P183" s="4">
        <v>0</v>
      </c>
      <c r="Q183" s="4">
        <v>0</v>
      </c>
      <c r="R183" s="4">
        <v>0</v>
      </c>
      <c r="S183" s="5">
        <f t="shared" si="15"/>
        <v>0</v>
      </c>
      <c r="T183" s="5">
        <f t="shared" si="16"/>
        <v>0.91183057705128356</v>
      </c>
      <c r="U183" s="5">
        <f t="shared" si="17"/>
        <v>0</v>
      </c>
      <c r="V183" s="4">
        <v>50</v>
      </c>
      <c r="W183" s="4">
        <v>-10</v>
      </c>
      <c r="X183" s="4">
        <v>-10</v>
      </c>
      <c r="Y183" s="4">
        <v>12</v>
      </c>
      <c r="Z183" s="4">
        <v>0</v>
      </c>
      <c r="AA183" s="4">
        <v>0</v>
      </c>
      <c r="AB183" s="4">
        <v>0.01</v>
      </c>
      <c r="AC183" s="4">
        <v>0</v>
      </c>
      <c r="AD183" s="4"/>
      <c r="AE183" s="54">
        <v>-1.523137092590332E-3</v>
      </c>
      <c r="AF183" s="54">
        <v>-0.81510752439498901</v>
      </c>
    </row>
    <row r="184" spans="1:32" x14ac:dyDescent="0.2">
      <c r="A184" s="53" t="s">
        <v>2175</v>
      </c>
      <c r="B184" s="53" t="s">
        <v>2176</v>
      </c>
      <c r="C184" s="54" t="s">
        <v>2878</v>
      </c>
      <c r="D184" s="13" t="s">
        <v>476</v>
      </c>
      <c r="E184" s="4" t="s">
        <v>478</v>
      </c>
      <c r="F184" s="4" t="s">
        <v>477</v>
      </c>
      <c r="G184" s="12" t="s">
        <v>22</v>
      </c>
      <c r="H184" s="4">
        <v>3098</v>
      </c>
      <c r="I184" s="5">
        <f t="shared" si="12"/>
        <v>2419.0859478280154</v>
      </c>
      <c r="J184" s="4">
        <v>837</v>
      </c>
      <c r="K184" s="5">
        <f t="shared" si="13"/>
        <v>451.87235496759962</v>
      </c>
      <c r="L184" s="5">
        <v>0</v>
      </c>
      <c r="M184" s="5">
        <v>0</v>
      </c>
      <c r="N184" s="4">
        <v>0</v>
      </c>
      <c r="O184" s="5">
        <f t="shared" si="14"/>
        <v>0</v>
      </c>
      <c r="P184" s="4">
        <v>0</v>
      </c>
      <c r="Q184" s="4">
        <v>0</v>
      </c>
      <c r="R184" s="4">
        <v>0</v>
      </c>
      <c r="S184" s="5">
        <f t="shared" si="15"/>
        <v>0</v>
      </c>
      <c r="T184" s="5">
        <f t="shared" si="16"/>
        <v>0.18679466737149822</v>
      </c>
      <c r="U184" s="5">
        <f t="shared" si="17"/>
        <v>0</v>
      </c>
      <c r="V184" s="4">
        <v>-16</v>
      </c>
      <c r="W184" s="4">
        <v>-30</v>
      </c>
      <c r="X184" s="4">
        <v>21</v>
      </c>
      <c r="Y184" s="4">
        <v>-3</v>
      </c>
      <c r="Z184" s="4">
        <v>0</v>
      </c>
      <c r="AA184" s="4">
        <v>0</v>
      </c>
      <c r="AB184" s="4">
        <v>0</v>
      </c>
      <c r="AC184" s="4">
        <v>0</v>
      </c>
      <c r="AD184" s="4"/>
      <c r="AE184" s="54">
        <v>2.1576881408691409E-4</v>
      </c>
      <c r="AF184" s="54">
        <v>0.38316118717193598</v>
      </c>
    </row>
    <row r="185" spans="1:32" x14ac:dyDescent="0.2">
      <c r="A185" s="53" t="s">
        <v>2175</v>
      </c>
      <c r="B185" s="53" t="s">
        <v>2174</v>
      </c>
      <c r="C185" s="54" t="s">
        <v>2879</v>
      </c>
      <c r="D185" s="13" t="s">
        <v>473</v>
      </c>
      <c r="E185" s="4" t="s">
        <v>475</v>
      </c>
      <c r="F185" s="4" t="s">
        <v>474</v>
      </c>
      <c r="G185" s="4" t="s">
        <v>225</v>
      </c>
      <c r="H185" s="4">
        <v>1005</v>
      </c>
      <c r="I185" s="5">
        <f t="shared" si="12"/>
        <v>784.75835299133485</v>
      </c>
      <c r="J185" s="4">
        <v>3608</v>
      </c>
      <c r="K185" s="5">
        <f t="shared" si="13"/>
        <v>1947.8559817480279</v>
      </c>
      <c r="L185" s="5">
        <v>0</v>
      </c>
      <c r="M185" s="5">
        <v>0</v>
      </c>
      <c r="N185" s="4">
        <v>0</v>
      </c>
      <c r="O185" s="5">
        <f t="shared" si="14"/>
        <v>0</v>
      </c>
      <c r="P185" s="4">
        <v>0</v>
      </c>
      <c r="Q185" s="4">
        <v>0</v>
      </c>
      <c r="R185" s="4">
        <v>0</v>
      </c>
      <c r="S185" s="5">
        <f t="shared" si="15"/>
        <v>0</v>
      </c>
      <c r="T185" s="5">
        <f t="shared" si="16"/>
        <v>2.4821092688255026</v>
      </c>
      <c r="U185" s="5">
        <f t="shared" si="17"/>
        <v>0</v>
      </c>
      <c r="V185" s="4">
        <v>-31</v>
      </c>
      <c r="W185" s="4">
        <v>-7</v>
      </c>
      <c r="X185" s="4">
        <v>-4</v>
      </c>
      <c r="Y185" s="4">
        <v>-7</v>
      </c>
      <c r="Z185" s="4">
        <v>0</v>
      </c>
      <c r="AA185" s="4">
        <v>0</v>
      </c>
      <c r="AB185" s="4">
        <v>0</v>
      </c>
      <c r="AC185" s="4">
        <v>0</v>
      </c>
      <c r="AD185" s="4"/>
      <c r="AE185" s="54">
        <v>5.2225589752197266E-4</v>
      </c>
      <c r="AF185" s="54">
        <v>0.55317401885986328</v>
      </c>
    </row>
    <row r="186" spans="1:32" x14ac:dyDescent="0.2">
      <c r="A186" s="53" t="s">
        <v>2683</v>
      </c>
      <c r="B186" s="53" t="s">
        <v>2711</v>
      </c>
      <c r="C186" s="54" t="s">
        <v>2882</v>
      </c>
      <c r="D186" s="13" t="s">
        <v>1905</v>
      </c>
      <c r="E186" s="4" t="s">
        <v>1907</v>
      </c>
      <c r="F186" s="4" t="s">
        <v>1906</v>
      </c>
      <c r="G186" s="4" t="s">
        <v>1328</v>
      </c>
      <c r="H186" s="4">
        <v>187</v>
      </c>
      <c r="I186" s="5">
        <f t="shared" si="12"/>
        <v>146.01971344216878</v>
      </c>
      <c r="J186" s="4">
        <v>4232</v>
      </c>
      <c r="K186" s="5">
        <f t="shared" si="13"/>
        <v>2284.7357302543387</v>
      </c>
      <c r="L186" s="5">
        <v>0</v>
      </c>
      <c r="M186" s="5">
        <v>0</v>
      </c>
      <c r="N186" s="4">
        <v>0</v>
      </c>
      <c r="O186" s="5">
        <f t="shared" si="14"/>
        <v>0</v>
      </c>
      <c r="P186" s="4">
        <v>0</v>
      </c>
      <c r="Q186" s="4">
        <v>0</v>
      </c>
      <c r="R186" s="4">
        <v>0</v>
      </c>
      <c r="S186" s="5">
        <f t="shared" si="15"/>
        <v>0</v>
      </c>
      <c r="T186" s="5">
        <f t="shared" si="16"/>
        <v>15.64676218296518</v>
      </c>
      <c r="U186" s="5">
        <f t="shared" si="17"/>
        <v>0</v>
      </c>
      <c r="V186" s="4" t="s">
        <v>21</v>
      </c>
      <c r="W186" s="4" t="s">
        <v>21</v>
      </c>
      <c r="X186" s="4" t="s">
        <v>21</v>
      </c>
      <c r="Y186" s="4" t="s">
        <v>21</v>
      </c>
      <c r="Z186" s="10">
        <v>0</v>
      </c>
      <c r="AA186" s="10">
        <v>0</v>
      </c>
      <c r="AB186" s="10">
        <v>0</v>
      </c>
      <c r="AC186" s="10">
        <v>0</v>
      </c>
      <c r="AD186" s="4"/>
      <c r="AE186" s="54">
        <v>-3.070831298828125E-4</v>
      </c>
      <c r="AF186" s="54">
        <v>-0.37327557802200317</v>
      </c>
    </row>
    <row r="187" spans="1:32" x14ac:dyDescent="0.2">
      <c r="A187" s="53" t="s">
        <v>2683</v>
      </c>
      <c r="B187" s="53" t="s">
        <v>2710</v>
      </c>
      <c r="C187" s="54" t="s">
        <v>2883</v>
      </c>
      <c r="D187" s="13" t="s">
        <v>485</v>
      </c>
      <c r="E187" s="4" t="s">
        <v>487</v>
      </c>
      <c r="F187" s="4" t="s">
        <v>486</v>
      </c>
      <c r="G187" s="4" t="s">
        <v>1387</v>
      </c>
      <c r="H187" s="4">
        <v>1799</v>
      </c>
      <c r="I187" s="5">
        <f t="shared" si="12"/>
        <v>1404.7564945586182</v>
      </c>
      <c r="J187" s="4">
        <v>4511</v>
      </c>
      <c r="K187" s="5">
        <f t="shared" si="13"/>
        <v>2435.3598485768721</v>
      </c>
      <c r="L187" s="5">
        <v>0</v>
      </c>
      <c r="M187" s="5">
        <v>0</v>
      </c>
      <c r="N187" s="4">
        <v>0</v>
      </c>
      <c r="O187" s="5">
        <f t="shared" si="14"/>
        <v>0</v>
      </c>
      <c r="P187" s="4">
        <v>0</v>
      </c>
      <c r="Q187" s="4">
        <v>0</v>
      </c>
      <c r="R187" s="4">
        <v>0</v>
      </c>
      <c r="S187" s="5">
        <f t="shared" si="15"/>
        <v>0</v>
      </c>
      <c r="T187" s="5">
        <f t="shared" si="16"/>
        <v>1.7336526707727198</v>
      </c>
      <c r="U187" s="5">
        <f t="shared" si="17"/>
        <v>0</v>
      </c>
      <c r="V187" s="4" t="s">
        <v>21</v>
      </c>
      <c r="W187" s="4">
        <v>-207</v>
      </c>
      <c r="X187" s="4" t="s">
        <v>21</v>
      </c>
      <c r="Y187" s="4">
        <v>-260</v>
      </c>
      <c r="Z187" s="10">
        <v>0</v>
      </c>
      <c r="AA187" s="10">
        <v>0</v>
      </c>
      <c r="AB187" s="10">
        <v>0</v>
      </c>
      <c r="AC187" s="10">
        <v>0</v>
      </c>
      <c r="AD187" s="4"/>
      <c r="AE187" s="54">
        <v>2.8681755065917969E-4</v>
      </c>
      <c r="AF187" s="54">
        <v>0.37327557802200317</v>
      </c>
    </row>
    <row r="188" spans="1:32" x14ac:dyDescent="0.2">
      <c r="A188" s="53" t="s">
        <v>2683</v>
      </c>
      <c r="B188" s="53" t="s">
        <v>2700</v>
      </c>
      <c r="C188" s="54" t="s">
        <v>2888</v>
      </c>
      <c r="D188" s="13" t="s">
        <v>1899</v>
      </c>
      <c r="E188" s="4" t="s">
        <v>1901</v>
      </c>
      <c r="F188" s="4" t="s">
        <v>1900</v>
      </c>
      <c r="G188" s="4" t="s">
        <v>34</v>
      </c>
      <c r="H188" s="4">
        <v>795</v>
      </c>
      <c r="I188" s="5">
        <f t="shared" si="12"/>
        <v>620.77899564986194</v>
      </c>
      <c r="J188" s="4">
        <v>2576</v>
      </c>
      <c r="K188" s="5">
        <f t="shared" si="13"/>
        <v>1390.7087053722062</v>
      </c>
      <c r="L188" s="5">
        <v>0</v>
      </c>
      <c r="M188" s="5">
        <v>0</v>
      </c>
      <c r="N188" s="4">
        <v>0</v>
      </c>
      <c r="O188" s="5">
        <f t="shared" si="14"/>
        <v>0</v>
      </c>
      <c r="P188" s="4">
        <v>0</v>
      </c>
      <c r="Q188" s="4">
        <v>0</v>
      </c>
      <c r="R188" s="4">
        <v>0</v>
      </c>
      <c r="S188" s="5">
        <f t="shared" si="15"/>
        <v>0</v>
      </c>
      <c r="T188" s="5">
        <f t="shared" si="16"/>
        <v>2.2402637897185036</v>
      </c>
      <c r="U188" s="5">
        <f t="shared" si="17"/>
        <v>0</v>
      </c>
      <c r="V188" s="4">
        <v>-24</v>
      </c>
      <c r="W188" s="4">
        <v>32</v>
      </c>
      <c r="X188" s="4">
        <v>5</v>
      </c>
      <c r="Y188" s="4">
        <v>-24</v>
      </c>
      <c r="Z188" s="4">
        <v>0</v>
      </c>
      <c r="AA188" s="4">
        <v>0</v>
      </c>
      <c r="AB188" s="4">
        <v>0</v>
      </c>
      <c r="AC188" s="4">
        <v>0</v>
      </c>
      <c r="AD188" s="4"/>
      <c r="AE188" s="54">
        <v>-6.3661813735961914E-2</v>
      </c>
      <c r="AF188" s="54">
        <v>-0.99988448619842529</v>
      </c>
    </row>
    <row r="189" spans="1:32" x14ac:dyDescent="0.2">
      <c r="A189" s="53" t="s">
        <v>2683</v>
      </c>
      <c r="B189" s="53" t="s">
        <v>2701</v>
      </c>
      <c r="C189" s="54" t="s">
        <v>2889</v>
      </c>
      <c r="D189" s="13" t="s">
        <v>1902</v>
      </c>
      <c r="E189" s="4" t="s">
        <v>1904</v>
      </c>
      <c r="F189" s="4" t="s">
        <v>1903</v>
      </c>
      <c r="G189" s="4" t="s">
        <v>34</v>
      </c>
      <c r="H189" s="4">
        <v>211</v>
      </c>
      <c r="I189" s="5">
        <f t="shared" si="12"/>
        <v>164.76021142405139</v>
      </c>
      <c r="J189" s="4">
        <v>1367</v>
      </c>
      <c r="K189" s="5">
        <f t="shared" si="13"/>
        <v>738.004192641229</v>
      </c>
      <c r="L189" s="5">
        <v>0</v>
      </c>
      <c r="M189" s="5">
        <v>0</v>
      </c>
      <c r="N189" s="4">
        <v>0</v>
      </c>
      <c r="O189" s="5">
        <f t="shared" si="14"/>
        <v>0</v>
      </c>
      <c r="P189" s="4">
        <v>0</v>
      </c>
      <c r="Q189" s="4">
        <v>0</v>
      </c>
      <c r="R189" s="4">
        <v>0</v>
      </c>
      <c r="S189" s="5">
        <f t="shared" si="15"/>
        <v>0</v>
      </c>
      <c r="T189" s="5">
        <f t="shared" si="16"/>
        <v>4.4792622336578072</v>
      </c>
      <c r="U189" s="5">
        <f t="shared" si="17"/>
        <v>0</v>
      </c>
      <c r="V189" s="4">
        <v>-23</v>
      </c>
      <c r="W189" s="4">
        <v>2</v>
      </c>
      <c r="X189" s="4">
        <v>24</v>
      </c>
      <c r="Y189" s="4">
        <v>-22</v>
      </c>
      <c r="Z189" s="4">
        <v>0</v>
      </c>
      <c r="AA189" s="4">
        <v>0</v>
      </c>
      <c r="AB189" s="4">
        <v>0</v>
      </c>
      <c r="AC189" s="4">
        <v>0</v>
      </c>
      <c r="AD189" s="4"/>
      <c r="AE189" s="54">
        <v>-2.7444362640380859E-2</v>
      </c>
      <c r="AF189" s="54">
        <v>-0.99956989288330078</v>
      </c>
    </row>
    <row r="190" spans="1:32" x14ac:dyDescent="0.2">
      <c r="A190" s="53" t="s">
        <v>2683</v>
      </c>
      <c r="B190" s="53" t="s">
        <v>2702</v>
      </c>
      <c r="C190" s="54" t="s">
        <v>2890</v>
      </c>
      <c r="D190" s="13" t="s">
        <v>587</v>
      </c>
      <c r="E190" s="4" t="s">
        <v>589</v>
      </c>
      <c r="F190" s="4" t="s">
        <v>588</v>
      </c>
      <c r="G190" s="4" t="s">
        <v>34</v>
      </c>
      <c r="H190" s="4">
        <v>1030</v>
      </c>
      <c r="I190" s="5">
        <f t="shared" si="12"/>
        <v>804.27970505579594</v>
      </c>
      <c r="J190" s="4">
        <v>4878</v>
      </c>
      <c r="K190" s="5">
        <f t="shared" si="13"/>
        <v>2633.4926493810644</v>
      </c>
      <c r="L190" s="5">
        <v>0</v>
      </c>
      <c r="M190" s="5">
        <v>0</v>
      </c>
      <c r="N190" s="4">
        <v>0</v>
      </c>
      <c r="O190" s="5">
        <f t="shared" si="14"/>
        <v>0</v>
      </c>
      <c r="P190" s="4">
        <v>0</v>
      </c>
      <c r="Q190" s="4">
        <v>0</v>
      </c>
      <c r="R190" s="4">
        <v>0</v>
      </c>
      <c r="S190" s="5">
        <f t="shared" si="15"/>
        <v>0</v>
      </c>
      <c r="T190" s="5">
        <f t="shared" si="16"/>
        <v>3.2743492504244762</v>
      </c>
      <c r="U190" s="5">
        <f t="shared" si="17"/>
        <v>0</v>
      </c>
      <c r="V190" s="4">
        <v>-48</v>
      </c>
      <c r="W190" s="4">
        <v>-20</v>
      </c>
      <c r="X190" s="4">
        <v>2</v>
      </c>
      <c r="Y190" s="4">
        <v>-20</v>
      </c>
      <c r="Z190" s="4">
        <v>0</v>
      </c>
      <c r="AA190" s="4">
        <v>0</v>
      </c>
      <c r="AB190" s="4">
        <v>0</v>
      </c>
      <c r="AC190" s="4">
        <v>0.02</v>
      </c>
      <c r="AD190" s="4"/>
      <c r="AE190" s="54">
        <v>3.7930011749267578E-3</v>
      </c>
      <c r="AF190" s="54">
        <v>0.97042572498321533</v>
      </c>
    </row>
    <row r="191" spans="1:32" x14ac:dyDescent="0.2">
      <c r="A191" s="53" t="s">
        <v>2683</v>
      </c>
      <c r="B191" s="53" t="s">
        <v>2704</v>
      </c>
      <c r="C191" s="54" t="s">
        <v>2892</v>
      </c>
      <c r="D191" s="13" t="s">
        <v>593</v>
      </c>
      <c r="E191" s="4" t="s">
        <v>595</v>
      </c>
      <c r="F191" s="4" t="s">
        <v>594</v>
      </c>
      <c r="G191" s="4" t="s">
        <v>34</v>
      </c>
      <c r="H191" s="4">
        <v>557</v>
      </c>
      <c r="I191" s="5">
        <f t="shared" si="12"/>
        <v>434.93572399619256</v>
      </c>
      <c r="J191" s="4">
        <v>4083</v>
      </c>
      <c r="K191" s="5">
        <f t="shared" si="13"/>
        <v>2204.2948928706201</v>
      </c>
      <c r="L191" s="5">
        <v>0</v>
      </c>
      <c r="M191" s="5">
        <v>0</v>
      </c>
      <c r="N191" s="4">
        <v>0</v>
      </c>
      <c r="O191" s="5">
        <f t="shared" si="14"/>
        <v>0</v>
      </c>
      <c r="P191" s="4">
        <v>0</v>
      </c>
      <c r="Q191" s="4">
        <v>0</v>
      </c>
      <c r="R191" s="4">
        <v>0</v>
      </c>
      <c r="S191" s="5">
        <f t="shared" si="15"/>
        <v>0</v>
      </c>
      <c r="T191" s="5">
        <f t="shared" si="16"/>
        <v>5.0680934475042489</v>
      </c>
      <c r="U191" s="5">
        <f t="shared" si="17"/>
        <v>0</v>
      </c>
      <c r="V191" s="4" t="s">
        <v>21</v>
      </c>
      <c r="W191" s="4" t="s">
        <v>21</v>
      </c>
      <c r="X191" s="4" t="s">
        <v>21</v>
      </c>
      <c r="Y191" s="4" t="s">
        <v>21</v>
      </c>
      <c r="Z191" s="10">
        <v>0</v>
      </c>
      <c r="AA191" s="10">
        <v>0</v>
      </c>
      <c r="AB191" s="10">
        <v>0</v>
      </c>
      <c r="AC191" s="10">
        <v>0</v>
      </c>
      <c r="AD191" s="4"/>
      <c r="AE191" s="54">
        <v>-5.6986093521118157E-2</v>
      </c>
      <c r="AF191" s="54">
        <v>-0.99985456466674805</v>
      </c>
    </row>
    <row r="192" spans="1:32" x14ac:dyDescent="0.2">
      <c r="A192" s="53" t="s">
        <v>2683</v>
      </c>
      <c r="B192" s="53" t="s">
        <v>2705</v>
      </c>
      <c r="C192" s="54" t="s">
        <v>2893</v>
      </c>
      <c r="D192" s="13" t="s">
        <v>1716</v>
      </c>
      <c r="E192" s="4" t="s">
        <v>1718</v>
      </c>
      <c r="F192" s="4" t="s">
        <v>1717</v>
      </c>
      <c r="G192" s="4" t="s">
        <v>34</v>
      </c>
      <c r="H192" s="4">
        <v>328</v>
      </c>
      <c r="I192" s="5">
        <f t="shared" si="12"/>
        <v>256.12013908572919</v>
      </c>
      <c r="J192" s="4">
        <v>4272</v>
      </c>
      <c r="K192" s="5">
        <f t="shared" si="13"/>
        <v>2306.3305859278203</v>
      </c>
      <c r="L192" s="5">
        <v>0</v>
      </c>
      <c r="M192" s="5">
        <v>0</v>
      </c>
      <c r="N192" s="4">
        <v>0</v>
      </c>
      <c r="O192" s="5">
        <f t="shared" si="14"/>
        <v>0</v>
      </c>
      <c r="P192" s="4">
        <v>0</v>
      </c>
      <c r="Q192" s="4">
        <v>0</v>
      </c>
      <c r="R192" s="4">
        <v>0</v>
      </c>
      <c r="S192" s="5">
        <f t="shared" si="15"/>
        <v>0</v>
      </c>
      <c r="T192" s="5">
        <f t="shared" si="16"/>
        <v>9.0048779223715769</v>
      </c>
      <c r="U192" s="5">
        <f t="shared" si="17"/>
        <v>0</v>
      </c>
      <c r="V192" s="4">
        <v>42</v>
      </c>
      <c r="W192" s="4">
        <v>-32</v>
      </c>
      <c r="X192" s="4">
        <v>-23</v>
      </c>
      <c r="Y192" s="4">
        <v>44</v>
      </c>
      <c r="Z192" s="10">
        <v>0</v>
      </c>
      <c r="AA192" s="10">
        <v>0</v>
      </c>
      <c r="AB192" s="10">
        <v>0</v>
      </c>
      <c r="AC192" s="10">
        <v>0</v>
      </c>
      <c r="AD192" s="4"/>
      <c r="AE192" s="54">
        <v>-1.521825790405273E-3</v>
      </c>
      <c r="AF192" s="54">
        <v>-0.80316084623336792</v>
      </c>
    </row>
    <row r="193" spans="1:32" x14ac:dyDescent="0.2">
      <c r="A193" s="53" t="s">
        <v>2683</v>
      </c>
      <c r="B193" s="53" t="s">
        <v>2699</v>
      </c>
      <c r="C193" s="54" t="s">
        <v>2896</v>
      </c>
      <c r="D193" s="13" t="s">
        <v>195</v>
      </c>
      <c r="E193" s="4" t="s">
        <v>197</v>
      </c>
      <c r="F193" s="4" t="s">
        <v>196</v>
      </c>
      <c r="G193" s="4" t="s">
        <v>34</v>
      </c>
      <c r="H193" s="4">
        <v>948</v>
      </c>
      <c r="I193" s="5">
        <f t="shared" si="12"/>
        <v>740.24967028436356</v>
      </c>
      <c r="J193" s="4">
        <v>1386</v>
      </c>
      <c r="K193" s="5">
        <f t="shared" si="13"/>
        <v>748.26174908613268</v>
      </c>
      <c r="L193" s="5">
        <v>0</v>
      </c>
      <c r="M193" s="5">
        <v>0</v>
      </c>
      <c r="N193" s="4">
        <v>0</v>
      </c>
      <c r="O193" s="5">
        <f t="shared" si="14"/>
        <v>0</v>
      </c>
      <c r="P193" s="4">
        <v>0</v>
      </c>
      <c r="Q193" s="4">
        <v>0</v>
      </c>
      <c r="R193" s="4">
        <v>0</v>
      </c>
      <c r="S193" s="5">
        <f t="shared" si="15"/>
        <v>0</v>
      </c>
      <c r="T193" s="5">
        <f t="shared" si="16"/>
        <v>1.0108234817567583</v>
      </c>
      <c r="U193" s="5">
        <f t="shared" si="17"/>
        <v>0</v>
      </c>
      <c r="V193" s="4">
        <v>-15</v>
      </c>
      <c r="W193" s="4">
        <v>-2</v>
      </c>
      <c r="X193" s="4">
        <v>38</v>
      </c>
      <c r="Y193" s="4">
        <v>-33</v>
      </c>
      <c r="Z193" s="4">
        <v>0</v>
      </c>
      <c r="AA193" s="4">
        <v>0.03</v>
      </c>
      <c r="AB193" s="4">
        <v>0</v>
      </c>
      <c r="AC193" s="4">
        <v>0</v>
      </c>
      <c r="AD193" s="4"/>
      <c r="AE193" s="54">
        <v>1.1298656463623049E-3</v>
      </c>
      <c r="AF193" s="54">
        <v>0.72177624702453613</v>
      </c>
    </row>
    <row r="194" spans="1:32" x14ac:dyDescent="0.2">
      <c r="A194" s="53" t="s">
        <v>2683</v>
      </c>
      <c r="B194" s="53" t="s">
        <v>2698</v>
      </c>
      <c r="C194" s="54" t="s">
        <v>2897</v>
      </c>
      <c r="D194" s="13" t="s">
        <v>1652</v>
      </c>
      <c r="E194" s="4" t="s">
        <v>1654</v>
      </c>
      <c r="F194" s="4" t="s">
        <v>1653</v>
      </c>
      <c r="G194" s="4" t="s">
        <v>34</v>
      </c>
      <c r="H194" s="4">
        <v>2314</v>
      </c>
      <c r="I194" s="5">
        <f t="shared" ref="I194:I257" si="18">H194/H$677*1000000</f>
        <v>1806.8963470865162</v>
      </c>
      <c r="J194" s="4">
        <v>2579</v>
      </c>
      <c r="K194" s="5">
        <f t="shared" ref="K194:K257" si="19">J194/J$677*1000000</f>
        <v>1392.3283195477172</v>
      </c>
      <c r="L194" s="5">
        <v>0</v>
      </c>
      <c r="M194" s="5">
        <v>0</v>
      </c>
      <c r="N194" s="4">
        <v>0</v>
      </c>
      <c r="O194" s="5">
        <f t="shared" ref="O194:O257" si="20">AVERAGE(L194:N194)</f>
        <v>0</v>
      </c>
      <c r="P194" s="4">
        <v>0</v>
      </c>
      <c r="Q194" s="4">
        <v>0</v>
      </c>
      <c r="R194" s="4">
        <v>0</v>
      </c>
      <c r="S194" s="5">
        <f t="shared" ref="S194:S257" si="21">AVERAGE(P194:R194)</f>
        <v>0</v>
      </c>
      <c r="T194" s="5">
        <f t="shared" ref="T194:T257" si="22">K194/I194</f>
        <v>0.77056347022491989</v>
      </c>
      <c r="U194" s="5">
        <f t="shared" ref="U194:U257" si="23">S194/((O194+1)*T194)</f>
        <v>0</v>
      </c>
      <c r="V194" s="4">
        <v>-4</v>
      </c>
      <c r="W194" s="4">
        <v>-2</v>
      </c>
      <c r="X194" s="4">
        <v>5</v>
      </c>
      <c r="Y194" s="4">
        <v>21</v>
      </c>
      <c r="Z194" s="4">
        <v>0</v>
      </c>
      <c r="AA194" s="4">
        <v>0</v>
      </c>
      <c r="AB194" s="4">
        <v>0</v>
      </c>
      <c r="AC194" s="4">
        <v>0</v>
      </c>
      <c r="AD194" s="4"/>
      <c r="AE194" s="54">
        <v>-1.0964870452880859E-3</v>
      </c>
      <c r="AF194" s="54">
        <v>-0.71053868532180786</v>
      </c>
    </row>
    <row r="195" spans="1:32" x14ac:dyDescent="0.2">
      <c r="A195" s="53" t="s">
        <v>2683</v>
      </c>
      <c r="B195" s="53" t="s">
        <v>2697</v>
      </c>
      <c r="C195" s="54" t="s">
        <v>2898</v>
      </c>
      <c r="D195" s="13" t="s">
        <v>1896</v>
      </c>
      <c r="E195" s="4" t="s">
        <v>1898</v>
      </c>
      <c r="F195" s="4" t="s">
        <v>1897</v>
      </c>
      <c r="G195" s="15" t="s">
        <v>34</v>
      </c>
      <c r="H195" s="4">
        <v>1883</v>
      </c>
      <c r="I195" s="5">
        <f t="shared" si="18"/>
        <v>1470.3482374952075</v>
      </c>
      <c r="J195" s="4">
        <v>2555</v>
      </c>
      <c r="K195" s="5">
        <f t="shared" si="19"/>
        <v>1379.3714061436283</v>
      </c>
      <c r="L195" s="5">
        <v>0</v>
      </c>
      <c r="M195" s="5">
        <v>0</v>
      </c>
      <c r="N195" s="4">
        <v>0</v>
      </c>
      <c r="O195" s="5">
        <f t="shared" si="20"/>
        <v>0</v>
      </c>
      <c r="P195" s="4">
        <v>0</v>
      </c>
      <c r="Q195" s="4">
        <v>0</v>
      </c>
      <c r="R195" s="4">
        <v>0</v>
      </c>
      <c r="S195" s="5">
        <f t="shared" si="21"/>
        <v>0</v>
      </c>
      <c r="T195" s="5">
        <f t="shared" si="22"/>
        <v>0.9381256568807389</v>
      </c>
      <c r="U195" s="5">
        <f t="shared" si="23"/>
        <v>0</v>
      </c>
      <c r="V195" s="4">
        <v>-3</v>
      </c>
      <c r="W195" s="4">
        <v>-19</v>
      </c>
      <c r="X195" s="4">
        <v>3</v>
      </c>
      <c r="Y195" s="4">
        <v>-4</v>
      </c>
      <c r="Z195" s="4">
        <v>0</v>
      </c>
      <c r="AA195" s="4">
        <v>0</v>
      </c>
      <c r="AB195" s="4">
        <v>0</v>
      </c>
      <c r="AC195" s="4">
        <v>0</v>
      </c>
      <c r="AD195" s="4"/>
      <c r="AE195" s="54">
        <v>2.2208690643310551E-3</v>
      </c>
      <c r="AF195" s="54">
        <v>0.89409929513931274</v>
      </c>
    </row>
    <row r="196" spans="1:32" x14ac:dyDescent="0.2">
      <c r="A196" s="53" t="s">
        <v>2683</v>
      </c>
      <c r="B196" s="53" t="s">
        <v>2691</v>
      </c>
      <c r="C196" s="54" t="s">
        <v>2900</v>
      </c>
      <c r="D196" s="13" t="s">
        <v>584</v>
      </c>
      <c r="E196" s="4" t="s">
        <v>586</v>
      </c>
      <c r="F196" s="4" t="s">
        <v>585</v>
      </c>
      <c r="G196" s="4" t="s">
        <v>34</v>
      </c>
      <c r="H196" s="4">
        <v>1046</v>
      </c>
      <c r="I196" s="5">
        <f t="shared" si="18"/>
        <v>816.77337037705104</v>
      </c>
      <c r="J196" s="4">
        <v>1746</v>
      </c>
      <c r="K196" s="5">
        <f t="shared" si="19"/>
        <v>942.61545014746594</v>
      </c>
      <c r="L196" s="5">
        <v>0</v>
      </c>
      <c r="M196" s="5">
        <v>0</v>
      </c>
      <c r="N196" s="4">
        <v>0</v>
      </c>
      <c r="O196" s="5">
        <f t="shared" si="20"/>
        <v>0</v>
      </c>
      <c r="P196" s="4">
        <v>0</v>
      </c>
      <c r="Q196" s="4">
        <v>0</v>
      </c>
      <c r="R196" s="4">
        <v>0</v>
      </c>
      <c r="S196" s="5">
        <f t="shared" si="21"/>
        <v>0</v>
      </c>
      <c r="T196" s="5">
        <f t="shared" si="22"/>
        <v>1.1540722118698872</v>
      </c>
      <c r="U196" s="5">
        <f t="shared" si="23"/>
        <v>0</v>
      </c>
      <c r="V196" s="4">
        <v>-4</v>
      </c>
      <c r="W196" s="4">
        <v>29</v>
      </c>
      <c r="X196" s="4">
        <v>-4</v>
      </c>
      <c r="Y196" s="4">
        <v>-2</v>
      </c>
      <c r="Z196" s="4">
        <v>0</v>
      </c>
      <c r="AA196" s="4">
        <v>0</v>
      </c>
      <c r="AB196" s="4">
        <v>0</v>
      </c>
      <c r="AC196" s="4">
        <v>0</v>
      </c>
      <c r="AD196" s="4"/>
      <c r="AE196" s="54">
        <v>1.1961460113525391E-3</v>
      </c>
      <c r="AF196" s="54">
        <v>0.73794448375701904</v>
      </c>
    </row>
    <row r="197" spans="1:32" x14ac:dyDescent="0.2">
      <c r="A197" s="53" t="s">
        <v>2683</v>
      </c>
      <c r="B197" s="53" t="s">
        <v>2690</v>
      </c>
      <c r="C197" s="54" t="s">
        <v>2903</v>
      </c>
      <c r="D197" s="13" t="s">
        <v>1686</v>
      </c>
      <c r="E197" s="4" t="s">
        <v>1688</v>
      </c>
      <c r="F197" s="4" t="s">
        <v>1687</v>
      </c>
      <c r="G197" s="15" t="s">
        <v>188</v>
      </c>
      <c r="H197" s="4">
        <v>1797</v>
      </c>
      <c r="I197" s="5">
        <f t="shared" si="18"/>
        <v>1403.1947863934613</v>
      </c>
      <c r="J197" s="4">
        <v>4505</v>
      </c>
      <c r="K197" s="5">
        <f t="shared" si="19"/>
        <v>2432.1206202258495</v>
      </c>
      <c r="L197" s="5">
        <v>0</v>
      </c>
      <c r="M197" s="5">
        <v>0</v>
      </c>
      <c r="N197" s="4">
        <v>0</v>
      </c>
      <c r="O197" s="5">
        <f t="shared" si="20"/>
        <v>0</v>
      </c>
      <c r="P197" s="4">
        <v>0</v>
      </c>
      <c r="Q197" s="4">
        <v>0</v>
      </c>
      <c r="R197" s="4">
        <v>0</v>
      </c>
      <c r="S197" s="5">
        <f t="shared" si="21"/>
        <v>0</v>
      </c>
      <c r="T197" s="5">
        <f t="shared" si="22"/>
        <v>1.7332737007076318</v>
      </c>
      <c r="U197" s="5">
        <f t="shared" si="23"/>
        <v>0</v>
      </c>
      <c r="V197" s="4">
        <v>-40</v>
      </c>
      <c r="W197" s="4">
        <v>-2</v>
      </c>
      <c r="X197" s="4">
        <v>5</v>
      </c>
      <c r="Y197" s="4">
        <v>9</v>
      </c>
      <c r="Z197" s="4">
        <v>0</v>
      </c>
      <c r="AA197" s="4">
        <v>0</v>
      </c>
      <c r="AB197" s="4">
        <v>0</v>
      </c>
      <c r="AC197" s="4">
        <v>0.01</v>
      </c>
      <c r="AD197" s="4"/>
      <c r="AE197" s="54">
        <v>0.1094269752502441</v>
      </c>
      <c r="AF197" s="54">
        <v>0.9999697208404541</v>
      </c>
    </row>
    <row r="198" spans="1:32" x14ac:dyDescent="0.2">
      <c r="A198" s="53" t="s">
        <v>2683</v>
      </c>
      <c r="B198" s="53" t="s">
        <v>2689</v>
      </c>
      <c r="C198" s="54" t="s">
        <v>2905</v>
      </c>
      <c r="D198" s="13" t="s">
        <v>1893</v>
      </c>
      <c r="E198" s="4" t="s">
        <v>1895</v>
      </c>
      <c r="F198" s="4" t="s">
        <v>1894</v>
      </c>
      <c r="G198" s="4" t="s">
        <v>42</v>
      </c>
      <c r="H198" s="4">
        <v>2765</v>
      </c>
      <c r="I198" s="5">
        <f t="shared" si="18"/>
        <v>2159.0615383293939</v>
      </c>
      <c r="J198" s="4">
        <v>4240</v>
      </c>
      <c r="K198" s="5">
        <f t="shared" si="19"/>
        <v>2289.054701389035</v>
      </c>
      <c r="L198" s="5">
        <v>0</v>
      </c>
      <c r="M198" s="5">
        <v>0</v>
      </c>
      <c r="N198" s="4">
        <v>0</v>
      </c>
      <c r="O198" s="5">
        <f t="shared" si="20"/>
        <v>0</v>
      </c>
      <c r="P198" s="4">
        <v>0</v>
      </c>
      <c r="Q198" s="4">
        <v>0</v>
      </c>
      <c r="R198" s="4">
        <v>0</v>
      </c>
      <c r="S198" s="5">
        <f t="shared" si="21"/>
        <v>0</v>
      </c>
      <c r="T198" s="5">
        <f t="shared" si="22"/>
        <v>1.0602081787628088</v>
      </c>
      <c r="U198" s="5">
        <f t="shared" si="23"/>
        <v>0</v>
      </c>
      <c r="V198" s="4">
        <v>21</v>
      </c>
      <c r="W198" s="4">
        <v>2</v>
      </c>
      <c r="X198" s="4">
        <v>23</v>
      </c>
      <c r="Y198" s="4">
        <v>2</v>
      </c>
      <c r="Z198" s="4">
        <v>0</v>
      </c>
      <c r="AA198" s="4">
        <v>0</v>
      </c>
      <c r="AB198" s="4">
        <v>0</v>
      </c>
      <c r="AC198" s="4">
        <v>0</v>
      </c>
      <c r="AD198" s="4"/>
      <c r="AE198" s="54">
        <v>-2.3086071014404301E-3</v>
      </c>
      <c r="AF198" s="54">
        <v>-0.90083020925521851</v>
      </c>
    </row>
    <row r="199" spans="1:32" x14ac:dyDescent="0.2">
      <c r="A199" s="53" t="s">
        <v>2683</v>
      </c>
      <c r="B199" s="53" t="s">
        <v>2686</v>
      </c>
      <c r="C199" s="54" t="s">
        <v>2907</v>
      </c>
      <c r="D199" s="13" t="s">
        <v>43</v>
      </c>
      <c r="E199" s="4" t="s">
        <v>45</v>
      </c>
      <c r="F199" s="4" t="s">
        <v>44</v>
      </c>
      <c r="G199" s="15" t="s">
        <v>188</v>
      </c>
      <c r="H199" s="4">
        <v>7560</v>
      </c>
      <c r="I199" s="5">
        <f t="shared" si="18"/>
        <v>5903.2568642930264</v>
      </c>
      <c r="J199" s="4">
        <v>1227</v>
      </c>
      <c r="K199" s="5">
        <f t="shared" si="19"/>
        <v>662.42219778404387</v>
      </c>
      <c r="L199" s="5">
        <v>0</v>
      </c>
      <c r="M199" s="5">
        <v>0</v>
      </c>
      <c r="N199" s="4">
        <v>0</v>
      </c>
      <c r="O199" s="5">
        <f t="shared" si="20"/>
        <v>0</v>
      </c>
      <c r="P199" s="4">
        <v>0</v>
      </c>
      <c r="Q199" s="4">
        <v>0</v>
      </c>
      <c r="R199" s="4">
        <v>0</v>
      </c>
      <c r="S199" s="5">
        <f t="shared" si="21"/>
        <v>0</v>
      </c>
      <c r="T199" s="5">
        <f t="shared" si="22"/>
        <v>0.11221300597485953</v>
      </c>
      <c r="U199" s="5">
        <f t="shared" si="23"/>
        <v>0</v>
      </c>
      <c r="V199" s="4">
        <v>21</v>
      </c>
      <c r="W199" s="4">
        <v>-19</v>
      </c>
      <c r="X199" s="4">
        <v>-25</v>
      </c>
      <c r="Y199" s="4">
        <v>2</v>
      </c>
      <c r="Z199" s="4">
        <v>0</v>
      </c>
      <c r="AA199" s="4">
        <v>0</v>
      </c>
      <c r="AB199" s="4" t="s">
        <v>21</v>
      </c>
      <c r="AC199" s="4" t="s">
        <v>21</v>
      </c>
      <c r="AD199" s="4"/>
      <c r="AE199" s="54">
        <v>7.9870223999023438E-5</v>
      </c>
      <c r="AF199" s="54">
        <v>0.1936357319355011</v>
      </c>
    </row>
    <row r="200" spans="1:32" x14ac:dyDescent="0.2">
      <c r="A200" s="53" t="s">
        <v>2683</v>
      </c>
      <c r="B200" s="53" t="s">
        <v>2684</v>
      </c>
      <c r="C200" s="54" t="s">
        <v>2909</v>
      </c>
      <c r="D200" s="13" t="s">
        <v>578</v>
      </c>
      <c r="E200" s="4" t="s">
        <v>580</v>
      </c>
      <c r="F200" s="4" t="s">
        <v>579</v>
      </c>
      <c r="G200" s="15" t="s">
        <v>188</v>
      </c>
      <c r="H200" s="4">
        <v>5819</v>
      </c>
      <c r="I200" s="5">
        <f t="shared" si="18"/>
        <v>4543.7899065239581</v>
      </c>
      <c r="J200" s="4">
        <v>3711</v>
      </c>
      <c r="K200" s="5">
        <f t="shared" si="19"/>
        <v>2003.4627351072425</v>
      </c>
      <c r="L200" s="5">
        <v>0</v>
      </c>
      <c r="M200" s="5">
        <v>0</v>
      </c>
      <c r="N200" s="4">
        <v>0</v>
      </c>
      <c r="O200" s="5">
        <f t="shared" si="20"/>
        <v>0</v>
      </c>
      <c r="P200" s="4">
        <v>0</v>
      </c>
      <c r="Q200" s="4">
        <v>0</v>
      </c>
      <c r="R200" s="4">
        <v>0</v>
      </c>
      <c r="S200" s="5">
        <f t="shared" si="21"/>
        <v>0</v>
      </c>
      <c r="T200" s="5">
        <f t="shared" si="22"/>
        <v>0.44092327689506011</v>
      </c>
      <c r="U200" s="5">
        <f t="shared" si="23"/>
        <v>0</v>
      </c>
      <c r="V200" s="4">
        <v>35</v>
      </c>
      <c r="W200" s="4">
        <v>27</v>
      </c>
      <c r="X200" s="4">
        <v>37</v>
      </c>
      <c r="Y200" s="4">
        <v>27</v>
      </c>
      <c r="Z200" s="4">
        <v>0</v>
      </c>
      <c r="AA200" s="4">
        <v>0</v>
      </c>
      <c r="AB200" s="4">
        <v>0</v>
      </c>
      <c r="AC200" s="4">
        <v>0</v>
      </c>
      <c r="AD200" s="4"/>
      <c r="AE200" s="54">
        <v>5.2213668823242188E-4</v>
      </c>
      <c r="AF200" s="54">
        <v>0.50330859422683716</v>
      </c>
    </row>
    <row r="201" spans="1:32" x14ac:dyDescent="0.2">
      <c r="A201" s="53" t="s">
        <v>2683</v>
      </c>
      <c r="B201" s="53" t="s">
        <v>2682</v>
      </c>
      <c r="C201" s="54" t="s">
        <v>2910</v>
      </c>
      <c r="D201" s="13" t="s">
        <v>424</v>
      </c>
      <c r="E201" s="4" t="s">
        <v>426</v>
      </c>
      <c r="F201" s="4" t="s">
        <v>425</v>
      </c>
      <c r="G201" s="15" t="s">
        <v>188</v>
      </c>
      <c r="H201" s="4">
        <v>1731</v>
      </c>
      <c r="I201" s="5">
        <f t="shared" si="18"/>
        <v>1351.6584169432842</v>
      </c>
      <c r="J201" s="4">
        <v>3046</v>
      </c>
      <c r="K201" s="5">
        <f t="shared" si="19"/>
        <v>1644.4482595356135</v>
      </c>
      <c r="L201" s="5">
        <v>0</v>
      </c>
      <c r="M201" s="5">
        <v>0</v>
      </c>
      <c r="N201" s="4">
        <v>0</v>
      </c>
      <c r="O201" s="5">
        <f t="shared" si="20"/>
        <v>0</v>
      </c>
      <c r="P201" s="4">
        <v>0</v>
      </c>
      <c r="Q201" s="4">
        <v>0</v>
      </c>
      <c r="R201" s="4">
        <v>0</v>
      </c>
      <c r="S201" s="5">
        <f t="shared" si="21"/>
        <v>0</v>
      </c>
      <c r="T201" s="5">
        <f t="shared" si="22"/>
        <v>1.216615262348945</v>
      </c>
      <c r="U201" s="5">
        <f t="shared" si="23"/>
        <v>0</v>
      </c>
      <c r="V201" s="4">
        <v>-30</v>
      </c>
      <c r="W201" s="4">
        <v>-1</v>
      </c>
      <c r="X201" s="4">
        <v>44</v>
      </c>
      <c r="Y201" s="4">
        <v>5</v>
      </c>
      <c r="Z201" s="4">
        <v>0</v>
      </c>
      <c r="AA201" s="4">
        <v>0</v>
      </c>
      <c r="AB201" s="4">
        <v>0</v>
      </c>
      <c r="AC201" s="4">
        <v>0</v>
      </c>
      <c r="AD201" s="4"/>
      <c r="AE201" s="54">
        <v>9.7775459289550781E-4</v>
      </c>
      <c r="AF201" s="54">
        <v>0.68079328536987305</v>
      </c>
    </row>
    <row r="202" spans="1:32" x14ac:dyDescent="0.2">
      <c r="A202" s="53" t="s">
        <v>2683</v>
      </c>
      <c r="B202" s="53" t="s">
        <v>2784</v>
      </c>
      <c r="C202" s="54" t="s">
        <v>2913</v>
      </c>
      <c r="D202" s="13" t="s">
        <v>1707</v>
      </c>
      <c r="E202" s="4" t="s">
        <v>1709</v>
      </c>
      <c r="F202" s="4" t="s">
        <v>1708</v>
      </c>
      <c r="G202" s="4" t="s">
        <v>118</v>
      </c>
      <c r="H202" s="4">
        <v>3454</v>
      </c>
      <c r="I202" s="5">
        <f t="shared" si="18"/>
        <v>2697.0700012259408</v>
      </c>
      <c r="J202" s="4">
        <v>1777</v>
      </c>
      <c r="K202" s="5">
        <f t="shared" si="19"/>
        <v>959.35146329441397</v>
      </c>
      <c r="L202" s="5">
        <v>0</v>
      </c>
      <c r="M202" s="5">
        <v>0</v>
      </c>
      <c r="N202" s="4">
        <v>0</v>
      </c>
      <c r="O202" s="5">
        <f t="shared" si="20"/>
        <v>0</v>
      </c>
      <c r="P202" s="4">
        <v>0</v>
      </c>
      <c r="Q202" s="4">
        <v>0</v>
      </c>
      <c r="R202" s="4">
        <v>0</v>
      </c>
      <c r="S202" s="5">
        <f t="shared" si="21"/>
        <v>0</v>
      </c>
      <c r="T202" s="5">
        <f t="shared" si="22"/>
        <v>0.35570135845875162</v>
      </c>
      <c r="U202" s="5">
        <f t="shared" si="23"/>
        <v>0</v>
      </c>
      <c r="V202" s="4" t="s">
        <v>21</v>
      </c>
      <c r="W202" s="4" t="s">
        <v>21</v>
      </c>
      <c r="X202" s="4" t="s">
        <v>21</v>
      </c>
      <c r="Y202" s="4" t="s">
        <v>21</v>
      </c>
      <c r="Z202" s="4">
        <v>0</v>
      </c>
      <c r="AA202" s="4">
        <v>0</v>
      </c>
      <c r="AB202" s="4">
        <v>0</v>
      </c>
      <c r="AC202" s="4">
        <v>0</v>
      </c>
      <c r="AD202" s="4"/>
      <c r="AE202" s="54">
        <v>3.5870075225830078E-3</v>
      </c>
      <c r="AF202" s="54">
        <v>0.96533185243606567</v>
      </c>
    </row>
    <row r="203" spans="1:32" x14ac:dyDescent="0.2">
      <c r="A203" s="53" t="s">
        <v>2683</v>
      </c>
      <c r="B203" s="53" t="s">
        <v>2781</v>
      </c>
      <c r="C203" s="54" t="s">
        <v>2915</v>
      </c>
      <c r="D203" s="13" t="s">
        <v>654</v>
      </c>
      <c r="E203" s="4" t="s">
        <v>656</v>
      </c>
      <c r="F203" s="4" t="s">
        <v>655</v>
      </c>
      <c r="G203" s="4" t="s">
        <v>335</v>
      </c>
      <c r="H203" s="4">
        <v>7016</v>
      </c>
      <c r="I203" s="5">
        <f t="shared" si="18"/>
        <v>5478.4722433703537</v>
      </c>
      <c r="J203" s="4">
        <v>4651</v>
      </c>
      <c r="K203" s="5">
        <f t="shared" si="19"/>
        <v>2510.9418434340569</v>
      </c>
      <c r="L203" s="5">
        <v>0</v>
      </c>
      <c r="M203" s="5">
        <v>0</v>
      </c>
      <c r="N203" s="4">
        <v>0</v>
      </c>
      <c r="O203" s="5">
        <f t="shared" si="20"/>
        <v>0</v>
      </c>
      <c r="P203" s="4">
        <v>0</v>
      </c>
      <c r="Q203" s="4">
        <v>0</v>
      </c>
      <c r="R203" s="4">
        <v>0</v>
      </c>
      <c r="S203" s="5">
        <f t="shared" si="21"/>
        <v>0</v>
      </c>
      <c r="T203" s="5">
        <f t="shared" si="22"/>
        <v>0.45832884276681607</v>
      </c>
      <c r="U203" s="5">
        <f t="shared" si="23"/>
        <v>0</v>
      </c>
      <c r="V203" s="4" t="s">
        <v>21</v>
      </c>
      <c r="W203" s="4" t="s">
        <v>21</v>
      </c>
      <c r="X203" s="4" t="s">
        <v>21</v>
      </c>
      <c r="Y203" s="4" t="s">
        <v>21</v>
      </c>
      <c r="Z203" s="4">
        <v>0</v>
      </c>
      <c r="AA203" s="4">
        <v>0</v>
      </c>
      <c r="AB203" s="4">
        <v>0</v>
      </c>
      <c r="AC203" s="4">
        <v>0</v>
      </c>
      <c r="AD203" s="4"/>
      <c r="AE203" s="54">
        <v>2.584457397460938E-4</v>
      </c>
      <c r="AF203" s="54">
        <v>0.35324940085411072</v>
      </c>
    </row>
    <row r="204" spans="1:32" x14ac:dyDescent="0.2">
      <c r="A204" s="53" t="s">
        <v>2683</v>
      </c>
      <c r="B204" s="53" t="s">
        <v>2780</v>
      </c>
      <c r="C204" s="54" t="s">
        <v>2916</v>
      </c>
      <c r="D204" s="13" t="s">
        <v>651</v>
      </c>
      <c r="E204" s="4" t="s">
        <v>653</v>
      </c>
      <c r="F204" s="4" t="s">
        <v>652</v>
      </c>
      <c r="G204" s="4" t="s">
        <v>809</v>
      </c>
      <c r="H204" s="4">
        <v>5604</v>
      </c>
      <c r="I204" s="5">
        <f t="shared" si="18"/>
        <v>4375.9062787695921</v>
      </c>
      <c r="J204" s="4">
        <v>2341</v>
      </c>
      <c r="K204" s="5">
        <f t="shared" si="19"/>
        <v>1263.8389282905025</v>
      </c>
      <c r="L204" s="5">
        <v>0</v>
      </c>
      <c r="M204" s="5">
        <v>0</v>
      </c>
      <c r="N204" s="4">
        <v>0</v>
      </c>
      <c r="O204" s="5">
        <f t="shared" si="20"/>
        <v>0</v>
      </c>
      <c r="P204" s="4">
        <v>0</v>
      </c>
      <c r="Q204" s="4">
        <v>0</v>
      </c>
      <c r="R204" s="4">
        <v>0</v>
      </c>
      <c r="S204" s="5">
        <f t="shared" si="21"/>
        <v>0</v>
      </c>
      <c r="T204" s="5">
        <f t="shared" si="22"/>
        <v>0.28881764091297357</v>
      </c>
      <c r="U204" s="5">
        <f t="shared" si="23"/>
        <v>0</v>
      </c>
      <c r="V204" s="4" t="s">
        <v>21</v>
      </c>
      <c r="W204" s="4" t="s">
        <v>21</v>
      </c>
      <c r="X204" s="4" t="s">
        <v>21</v>
      </c>
      <c r="Y204" s="4" t="s">
        <v>21</v>
      </c>
      <c r="Z204" s="4">
        <v>0</v>
      </c>
      <c r="AA204" s="4">
        <v>0</v>
      </c>
      <c r="AB204" s="4">
        <v>0</v>
      </c>
      <c r="AC204" s="4">
        <v>0</v>
      </c>
      <c r="AD204" s="4"/>
      <c r="AE204" s="54">
        <v>-2.7689933776855469E-3</v>
      </c>
      <c r="AF204" s="54">
        <v>-0.93191015720367432</v>
      </c>
    </row>
    <row r="205" spans="1:32" x14ac:dyDescent="0.2">
      <c r="A205" s="53" t="s">
        <v>2683</v>
      </c>
      <c r="B205" s="53" t="s">
        <v>2779</v>
      </c>
      <c r="C205" s="54" t="s">
        <v>2917</v>
      </c>
      <c r="D205" s="13" t="s">
        <v>648</v>
      </c>
      <c r="E205" s="4" t="s">
        <v>650</v>
      </c>
      <c r="F205" s="4" t="s">
        <v>649</v>
      </c>
      <c r="G205" s="4" t="s">
        <v>1845</v>
      </c>
      <c r="H205" s="4">
        <v>8189</v>
      </c>
      <c r="I205" s="5">
        <f t="shared" si="18"/>
        <v>6394.4140822348663</v>
      </c>
      <c r="J205" s="4">
        <v>4748</v>
      </c>
      <c r="K205" s="5">
        <f t="shared" si="19"/>
        <v>2563.3093684422497</v>
      </c>
      <c r="L205" s="5">
        <v>0</v>
      </c>
      <c r="M205" s="5">
        <v>0</v>
      </c>
      <c r="N205" s="4">
        <v>0</v>
      </c>
      <c r="O205" s="5">
        <f t="shared" si="20"/>
        <v>0</v>
      </c>
      <c r="P205" s="4">
        <v>0</v>
      </c>
      <c r="Q205" s="4">
        <v>0</v>
      </c>
      <c r="R205" s="4">
        <v>0</v>
      </c>
      <c r="S205" s="5">
        <f t="shared" si="21"/>
        <v>0</v>
      </c>
      <c r="T205" s="5">
        <f t="shared" si="22"/>
        <v>0.40086696536649152</v>
      </c>
      <c r="U205" s="5">
        <f t="shared" si="23"/>
        <v>0</v>
      </c>
      <c r="V205" s="4" t="s">
        <v>21</v>
      </c>
      <c r="W205" s="4">
        <v>-359</v>
      </c>
      <c r="X205" s="4" t="s">
        <v>21</v>
      </c>
      <c r="Y205" s="4" t="s">
        <v>21</v>
      </c>
      <c r="Z205" s="4">
        <v>0</v>
      </c>
      <c r="AA205" s="4">
        <v>0</v>
      </c>
      <c r="AB205" s="4">
        <v>0</v>
      </c>
      <c r="AC205" s="4">
        <v>0</v>
      </c>
      <c r="AD205" s="4"/>
      <c r="AE205" s="54">
        <v>4.1460990905761719E-4</v>
      </c>
      <c r="AF205" s="54">
        <v>0.44984942674636841</v>
      </c>
    </row>
    <row r="206" spans="1:32" x14ac:dyDescent="0.2">
      <c r="A206" s="53" t="s">
        <v>2683</v>
      </c>
      <c r="B206" s="53" t="s">
        <v>2778</v>
      </c>
      <c r="C206" s="54" t="s">
        <v>2918</v>
      </c>
      <c r="D206" s="13" t="s">
        <v>1704</v>
      </c>
      <c r="E206" s="4" t="s">
        <v>1706</v>
      </c>
      <c r="F206" s="4" t="s">
        <v>1705</v>
      </c>
      <c r="G206" s="4" t="s">
        <v>1852</v>
      </c>
      <c r="H206" s="4">
        <v>1352</v>
      </c>
      <c r="I206" s="5">
        <f t="shared" si="18"/>
        <v>1055.7147196460544</v>
      </c>
      <c r="J206" s="4">
        <v>4264</v>
      </c>
      <c r="K206" s="5">
        <f t="shared" si="19"/>
        <v>2302.011614793124</v>
      </c>
      <c r="L206" s="5">
        <v>0</v>
      </c>
      <c r="M206" s="5">
        <v>0</v>
      </c>
      <c r="N206" s="4">
        <v>0</v>
      </c>
      <c r="O206" s="5">
        <f t="shared" si="20"/>
        <v>0</v>
      </c>
      <c r="P206" s="4">
        <v>0</v>
      </c>
      <c r="Q206" s="4">
        <v>0</v>
      </c>
      <c r="R206" s="4">
        <v>0</v>
      </c>
      <c r="S206" s="5">
        <f t="shared" si="21"/>
        <v>0</v>
      </c>
      <c r="T206" s="5">
        <f t="shared" si="22"/>
        <v>2.180524313959467</v>
      </c>
      <c r="U206" s="5">
        <f t="shared" si="23"/>
        <v>0</v>
      </c>
      <c r="V206" s="4" t="s">
        <v>21</v>
      </c>
      <c r="W206" s="4" t="s">
        <v>21</v>
      </c>
      <c r="X206" s="4" t="s">
        <v>21</v>
      </c>
      <c r="Y206" s="4" t="s">
        <v>21</v>
      </c>
      <c r="Z206" s="4">
        <v>0</v>
      </c>
      <c r="AA206" s="4">
        <v>0</v>
      </c>
      <c r="AB206" s="4">
        <v>0</v>
      </c>
      <c r="AC206" s="4">
        <v>0</v>
      </c>
      <c r="AD206" s="4"/>
      <c r="AE206" s="54">
        <v>-7.584691047668457E-2</v>
      </c>
      <c r="AF206" s="54">
        <v>-0.99991446733474731</v>
      </c>
    </row>
    <row r="207" spans="1:32" x14ac:dyDescent="0.2">
      <c r="A207" s="53" t="s">
        <v>2683</v>
      </c>
      <c r="B207" s="53" t="s">
        <v>2777</v>
      </c>
      <c r="C207" s="54" t="s">
        <v>2919</v>
      </c>
      <c r="D207" s="13" t="s">
        <v>1842</v>
      </c>
      <c r="E207" s="4" t="s">
        <v>1844</v>
      </c>
      <c r="F207" s="4" t="s">
        <v>1843</v>
      </c>
      <c r="G207" s="4" t="s">
        <v>1845</v>
      </c>
      <c r="H207" s="4">
        <v>8924</v>
      </c>
      <c r="I207" s="5">
        <f t="shared" si="18"/>
        <v>6968.3418329300221</v>
      </c>
      <c r="J207" s="4">
        <v>3545</v>
      </c>
      <c r="K207" s="5">
        <f t="shared" si="19"/>
        <v>1913.8440840622948</v>
      </c>
      <c r="L207" s="5">
        <v>0</v>
      </c>
      <c r="M207" s="5">
        <v>0</v>
      </c>
      <c r="N207" s="4">
        <v>0</v>
      </c>
      <c r="O207" s="5">
        <f t="shared" si="20"/>
        <v>0</v>
      </c>
      <c r="P207" s="4">
        <v>0</v>
      </c>
      <c r="Q207" s="4">
        <v>0</v>
      </c>
      <c r="R207" s="4">
        <v>0</v>
      </c>
      <c r="S207" s="5">
        <f t="shared" si="21"/>
        <v>0</v>
      </c>
      <c r="T207" s="5">
        <f t="shared" si="22"/>
        <v>0.27464842138170031</v>
      </c>
      <c r="U207" s="5">
        <f t="shared" si="23"/>
        <v>0</v>
      </c>
      <c r="V207" s="4" t="s">
        <v>21</v>
      </c>
      <c r="W207" s="4" t="s">
        <v>21</v>
      </c>
      <c r="X207" s="4" t="s">
        <v>21</v>
      </c>
      <c r="Y207" s="4" t="s">
        <v>21</v>
      </c>
      <c r="Z207" s="4">
        <v>0</v>
      </c>
      <c r="AA207" s="4">
        <v>0</v>
      </c>
      <c r="AB207" s="4">
        <v>0</v>
      </c>
      <c r="AC207" s="4">
        <v>0</v>
      </c>
      <c r="AD207" s="4"/>
      <c r="AE207" s="54">
        <v>9.5963716506958008E-2</v>
      </c>
      <c r="AF207" s="54">
        <v>0.99996006488800049</v>
      </c>
    </row>
    <row r="208" spans="1:32" x14ac:dyDescent="0.2">
      <c r="A208" s="53" t="s">
        <v>2683</v>
      </c>
      <c r="B208" s="53" t="s">
        <v>2775</v>
      </c>
      <c r="C208" s="54" t="s">
        <v>2921</v>
      </c>
      <c r="D208" s="13" t="s">
        <v>1424</v>
      </c>
      <c r="E208" s="4" t="s">
        <v>1426</v>
      </c>
      <c r="F208" s="4" t="s">
        <v>1425</v>
      </c>
      <c r="G208" s="4" t="s">
        <v>1852</v>
      </c>
      <c r="H208" s="4">
        <v>6646</v>
      </c>
      <c r="I208" s="5">
        <f t="shared" si="18"/>
        <v>5189.5562328163305</v>
      </c>
      <c r="J208" s="4">
        <v>1903</v>
      </c>
      <c r="K208" s="5">
        <f t="shared" si="19"/>
        <v>1027.3752586658807</v>
      </c>
      <c r="L208" s="5">
        <v>0</v>
      </c>
      <c r="M208" s="5">
        <v>0</v>
      </c>
      <c r="N208" s="4">
        <v>0</v>
      </c>
      <c r="O208" s="5">
        <f t="shared" si="20"/>
        <v>0</v>
      </c>
      <c r="P208" s="4">
        <v>0</v>
      </c>
      <c r="Q208" s="4">
        <v>0</v>
      </c>
      <c r="R208" s="4">
        <v>0</v>
      </c>
      <c r="S208" s="5">
        <f t="shared" si="21"/>
        <v>0</v>
      </c>
      <c r="T208" s="5">
        <f t="shared" si="22"/>
        <v>0.19796977093517923</v>
      </c>
      <c r="U208" s="5">
        <f t="shared" si="23"/>
        <v>0</v>
      </c>
      <c r="V208" s="4" t="s">
        <v>21</v>
      </c>
      <c r="W208" s="4" t="s">
        <v>21</v>
      </c>
      <c r="X208" s="4" t="s">
        <v>21</v>
      </c>
      <c r="Y208" s="4" t="s">
        <v>21</v>
      </c>
      <c r="Z208" s="4">
        <v>0</v>
      </c>
      <c r="AA208" s="4">
        <v>0</v>
      </c>
      <c r="AB208" s="4">
        <v>0</v>
      </c>
      <c r="AC208" s="4">
        <v>0</v>
      </c>
      <c r="AD208" s="4"/>
      <c r="AE208" s="54">
        <v>6.0677528381347656E-4</v>
      </c>
      <c r="AF208" s="54">
        <v>0.54511702060699463</v>
      </c>
    </row>
    <row r="209" spans="1:32" x14ac:dyDescent="0.2">
      <c r="A209" s="53" t="s">
        <v>2683</v>
      </c>
      <c r="B209" s="53" t="s">
        <v>2774</v>
      </c>
      <c r="C209" s="54" t="s">
        <v>2922</v>
      </c>
      <c r="D209" s="13" t="s">
        <v>94</v>
      </c>
      <c r="E209" s="4" t="s">
        <v>96</v>
      </c>
      <c r="F209" s="4" t="s">
        <v>95</v>
      </c>
      <c r="G209" s="4" t="s">
        <v>1845</v>
      </c>
      <c r="H209" s="4">
        <v>467</v>
      </c>
      <c r="I209" s="5">
        <f t="shared" si="18"/>
        <v>364.65885656413275</v>
      </c>
      <c r="J209" s="4">
        <v>1619</v>
      </c>
      <c r="K209" s="5">
        <f t="shared" si="19"/>
        <v>874.05178338416226</v>
      </c>
      <c r="L209" s="5">
        <v>0</v>
      </c>
      <c r="M209" s="5">
        <v>0</v>
      </c>
      <c r="N209" s="4">
        <v>0</v>
      </c>
      <c r="O209" s="5">
        <f t="shared" si="20"/>
        <v>0</v>
      </c>
      <c r="P209" s="4">
        <v>0</v>
      </c>
      <c r="Q209" s="4">
        <v>0</v>
      </c>
      <c r="R209" s="4">
        <v>0</v>
      </c>
      <c r="S209" s="5">
        <f t="shared" si="21"/>
        <v>0</v>
      </c>
      <c r="T209" s="5">
        <f t="shared" si="22"/>
        <v>2.396902660255126</v>
      </c>
      <c r="U209" s="5">
        <f t="shared" si="23"/>
        <v>0</v>
      </c>
      <c r="V209" s="4">
        <v>1</v>
      </c>
      <c r="W209" s="4">
        <v>-22</v>
      </c>
      <c r="X209" s="4">
        <v>-13</v>
      </c>
      <c r="Y209" s="4">
        <v>-22</v>
      </c>
      <c r="Z209" s="4">
        <v>0</v>
      </c>
      <c r="AA209" s="4">
        <v>0</v>
      </c>
      <c r="AB209" s="4">
        <v>0.01</v>
      </c>
      <c r="AC209" s="4">
        <v>0</v>
      </c>
      <c r="AD209" s="4"/>
      <c r="AE209" s="54">
        <v>-4.0717124938964844E-3</v>
      </c>
      <c r="AF209" s="54">
        <v>-0.9753488302230835</v>
      </c>
    </row>
    <row r="210" spans="1:32" x14ac:dyDescent="0.2">
      <c r="A210" s="53" t="s">
        <v>2683</v>
      </c>
      <c r="B210" s="53" t="s">
        <v>2767</v>
      </c>
      <c r="C210" s="54" t="s">
        <v>2924</v>
      </c>
      <c r="D210" s="13" t="s">
        <v>1433</v>
      </c>
      <c r="E210" s="4" t="s">
        <v>1435</v>
      </c>
      <c r="F210" s="4" t="s">
        <v>1434</v>
      </c>
      <c r="G210" s="4" t="s">
        <v>46</v>
      </c>
      <c r="H210" s="4">
        <v>3401</v>
      </c>
      <c r="I210" s="5">
        <f t="shared" si="18"/>
        <v>2655.6847348492838</v>
      </c>
      <c r="J210" s="4">
        <v>3172</v>
      </c>
      <c r="K210" s="5">
        <f t="shared" si="19"/>
        <v>1712.4720549070801</v>
      </c>
      <c r="L210" s="5">
        <v>0</v>
      </c>
      <c r="M210" s="5">
        <v>0</v>
      </c>
      <c r="N210" s="4">
        <v>0</v>
      </c>
      <c r="O210" s="5">
        <f t="shared" si="20"/>
        <v>0</v>
      </c>
      <c r="P210" s="4">
        <v>0</v>
      </c>
      <c r="Q210" s="4">
        <v>0</v>
      </c>
      <c r="R210" s="4">
        <v>0</v>
      </c>
      <c r="S210" s="5">
        <f t="shared" si="21"/>
        <v>0</v>
      </c>
      <c r="T210" s="5">
        <f t="shared" si="22"/>
        <v>0.6448325858996462</v>
      </c>
      <c r="U210" s="5">
        <f t="shared" si="23"/>
        <v>0</v>
      </c>
      <c r="V210" s="4">
        <v>-3</v>
      </c>
      <c r="W210" s="4">
        <v>4</v>
      </c>
      <c r="X210" s="4">
        <v>-35</v>
      </c>
      <c r="Y210" s="4">
        <v>47</v>
      </c>
      <c r="Z210" s="4">
        <v>0</v>
      </c>
      <c r="AA210" s="4">
        <v>0</v>
      </c>
      <c r="AB210" s="4">
        <v>0</v>
      </c>
      <c r="AC210" s="4">
        <v>0</v>
      </c>
      <c r="AD210" s="4"/>
      <c r="AE210" s="54">
        <v>1.5466213226318359E-3</v>
      </c>
      <c r="AF210" s="54">
        <v>0.81119948625564575</v>
      </c>
    </row>
    <row r="211" spans="1:32" x14ac:dyDescent="0.2">
      <c r="A211" s="53" t="s">
        <v>2683</v>
      </c>
      <c r="B211" s="53" t="s">
        <v>2766</v>
      </c>
      <c r="C211" s="54" t="s">
        <v>2925</v>
      </c>
      <c r="D211" s="13" t="s">
        <v>1673</v>
      </c>
      <c r="E211" s="4" t="s">
        <v>1675</v>
      </c>
      <c r="F211" s="4" t="s">
        <v>1674</v>
      </c>
      <c r="G211" s="4" t="s">
        <v>46</v>
      </c>
      <c r="H211" s="4">
        <v>7784</v>
      </c>
      <c r="I211" s="5">
        <f t="shared" si="18"/>
        <v>6078.1681787905982</v>
      </c>
      <c r="J211" s="4">
        <v>1431</v>
      </c>
      <c r="K211" s="5">
        <f t="shared" si="19"/>
        <v>772.55596171879938</v>
      </c>
      <c r="L211" s="5">
        <v>0</v>
      </c>
      <c r="M211" s="5">
        <v>0</v>
      </c>
      <c r="N211" s="4">
        <v>0</v>
      </c>
      <c r="O211" s="5">
        <f t="shared" si="20"/>
        <v>0</v>
      </c>
      <c r="P211" s="4">
        <v>0</v>
      </c>
      <c r="Q211" s="4">
        <v>0</v>
      </c>
      <c r="R211" s="4">
        <v>0</v>
      </c>
      <c r="S211" s="5">
        <f t="shared" si="21"/>
        <v>0</v>
      </c>
      <c r="T211" s="5">
        <f t="shared" si="22"/>
        <v>0.12710341981233539</v>
      </c>
      <c r="U211" s="5">
        <f t="shared" si="23"/>
        <v>0</v>
      </c>
      <c r="V211" s="4">
        <v>-11</v>
      </c>
      <c r="W211" s="4">
        <v>6</v>
      </c>
      <c r="X211" s="4">
        <v>-35</v>
      </c>
      <c r="Y211" s="4">
        <v>6</v>
      </c>
      <c r="Z211" s="4">
        <v>0</v>
      </c>
      <c r="AA211" s="4">
        <v>0</v>
      </c>
      <c r="AB211" s="4">
        <v>0</v>
      </c>
      <c r="AC211" s="4">
        <v>0</v>
      </c>
      <c r="AD211" s="4"/>
      <c r="AE211" s="54">
        <v>-1.4171600341796879E-3</v>
      </c>
      <c r="AF211" s="54">
        <v>-0.78171879053115845</v>
      </c>
    </row>
    <row r="212" spans="1:32" x14ac:dyDescent="0.2">
      <c r="A212" s="53" t="s">
        <v>2683</v>
      </c>
      <c r="B212" s="53" t="s">
        <v>2765</v>
      </c>
      <c r="C212" s="54" t="s">
        <v>2926</v>
      </c>
      <c r="D212" s="13" t="s">
        <v>1670</v>
      </c>
      <c r="E212" s="4" t="s">
        <v>1672</v>
      </c>
      <c r="F212" s="4" t="s">
        <v>1671</v>
      </c>
      <c r="G212" s="4" t="s">
        <v>46</v>
      </c>
      <c r="H212" s="4">
        <v>3684</v>
      </c>
      <c r="I212" s="5">
        <f t="shared" si="18"/>
        <v>2876.6664402189826</v>
      </c>
      <c r="J212" s="4">
        <v>2081</v>
      </c>
      <c r="K212" s="5">
        <f t="shared" si="19"/>
        <v>1123.472366412873</v>
      </c>
      <c r="L212" s="5">
        <v>0</v>
      </c>
      <c r="M212" s="5">
        <v>0</v>
      </c>
      <c r="N212" s="4">
        <v>0</v>
      </c>
      <c r="O212" s="5">
        <f t="shared" si="20"/>
        <v>0</v>
      </c>
      <c r="P212" s="4">
        <v>0</v>
      </c>
      <c r="Q212" s="4">
        <v>0</v>
      </c>
      <c r="R212" s="4">
        <v>0</v>
      </c>
      <c r="S212" s="5">
        <f t="shared" si="21"/>
        <v>0</v>
      </c>
      <c r="T212" s="5">
        <f t="shared" si="22"/>
        <v>0.39054662393438638</v>
      </c>
      <c r="U212" s="5">
        <f t="shared" si="23"/>
        <v>0</v>
      </c>
      <c r="V212" s="4">
        <v>-38</v>
      </c>
      <c r="W212" s="4">
        <v>12</v>
      </c>
      <c r="X212" s="4">
        <v>33</v>
      </c>
      <c r="Y212" s="4">
        <v>5</v>
      </c>
      <c r="Z212" s="4">
        <v>0</v>
      </c>
      <c r="AA212" s="4">
        <v>0</v>
      </c>
      <c r="AB212" s="4">
        <v>0</v>
      </c>
      <c r="AC212" s="4">
        <v>0.01</v>
      </c>
      <c r="AD212" s="4"/>
      <c r="AE212" s="54">
        <v>2.368688583374023E-3</v>
      </c>
      <c r="AF212" s="54">
        <v>0.90715432167053223</v>
      </c>
    </row>
    <row r="213" spans="1:32" x14ac:dyDescent="0.2">
      <c r="A213" s="53" t="s">
        <v>2683</v>
      </c>
      <c r="B213" s="53" t="s">
        <v>2764</v>
      </c>
      <c r="C213" s="54" t="s">
        <v>2927</v>
      </c>
      <c r="D213" s="13" t="s">
        <v>1839</v>
      </c>
      <c r="E213" s="4" t="s">
        <v>1841</v>
      </c>
      <c r="F213" s="4" t="s">
        <v>1840</v>
      </c>
      <c r="G213" s="4" t="s">
        <v>46</v>
      </c>
      <c r="H213" s="4">
        <v>1363</v>
      </c>
      <c r="I213" s="5">
        <f t="shared" si="18"/>
        <v>1064.3041145544173</v>
      </c>
      <c r="J213" s="4">
        <v>3680</v>
      </c>
      <c r="K213" s="5">
        <f t="shared" si="19"/>
        <v>1986.7267219602948</v>
      </c>
      <c r="L213" s="5">
        <v>0</v>
      </c>
      <c r="M213" s="5">
        <v>0</v>
      </c>
      <c r="N213" s="4">
        <v>0</v>
      </c>
      <c r="O213" s="5">
        <f t="shared" si="20"/>
        <v>0</v>
      </c>
      <c r="P213" s="4">
        <v>0</v>
      </c>
      <c r="Q213" s="4">
        <v>0</v>
      </c>
      <c r="R213" s="4">
        <v>0</v>
      </c>
      <c r="S213" s="5">
        <f t="shared" si="21"/>
        <v>0</v>
      </c>
      <c r="T213" s="5">
        <f t="shared" si="22"/>
        <v>1.8666908215346512</v>
      </c>
      <c r="U213" s="5">
        <f t="shared" si="23"/>
        <v>0</v>
      </c>
      <c r="V213" s="4">
        <v>11</v>
      </c>
      <c r="W213" s="4">
        <v>42</v>
      </c>
      <c r="X213" s="4">
        <v>-36</v>
      </c>
      <c r="Y213" s="4">
        <v>42</v>
      </c>
      <c r="Z213" s="4">
        <v>0</v>
      </c>
      <c r="AA213" s="4">
        <v>0</v>
      </c>
      <c r="AB213" s="4">
        <v>0</v>
      </c>
      <c r="AC213" s="4">
        <v>0</v>
      </c>
      <c r="AD213" s="4"/>
      <c r="AE213" s="54">
        <v>-1.223564147949219E-3</v>
      </c>
      <c r="AF213" s="54">
        <v>-0.73794448375701904</v>
      </c>
    </row>
    <row r="214" spans="1:32" x14ac:dyDescent="0.2">
      <c r="A214" s="53" t="s">
        <v>2683</v>
      </c>
      <c r="B214" s="53" t="s">
        <v>2762</v>
      </c>
      <c r="C214" s="54" t="s">
        <v>2928</v>
      </c>
      <c r="D214" s="13" t="s">
        <v>626</v>
      </c>
      <c r="E214" s="4" t="s">
        <v>628</v>
      </c>
      <c r="F214" s="4" t="s">
        <v>627</v>
      </c>
      <c r="G214" s="4" t="s">
        <v>46</v>
      </c>
      <c r="H214" s="4">
        <v>1688</v>
      </c>
      <c r="I214" s="5">
        <f t="shared" si="18"/>
        <v>1318.0816913924111</v>
      </c>
      <c r="J214" s="4">
        <v>406</v>
      </c>
      <c r="K214" s="5">
        <f t="shared" si="19"/>
        <v>219.18778508583685</v>
      </c>
      <c r="L214" s="5">
        <v>0</v>
      </c>
      <c r="M214" s="5">
        <v>0</v>
      </c>
      <c r="N214" s="4">
        <v>0</v>
      </c>
      <c r="O214" s="5">
        <f t="shared" si="20"/>
        <v>0</v>
      </c>
      <c r="P214" s="4">
        <v>0</v>
      </c>
      <c r="Q214" s="4">
        <v>0</v>
      </c>
      <c r="R214" s="4">
        <v>0</v>
      </c>
      <c r="S214" s="5">
        <f t="shared" si="21"/>
        <v>0</v>
      </c>
      <c r="T214" s="5">
        <f t="shared" si="22"/>
        <v>0.16629302001326535</v>
      </c>
      <c r="U214" s="5">
        <f t="shared" si="23"/>
        <v>0</v>
      </c>
      <c r="V214" s="4">
        <v>15</v>
      </c>
      <c r="W214" s="4">
        <v>-8</v>
      </c>
      <c r="X214" s="4">
        <v>-29</v>
      </c>
      <c r="Y214" s="4">
        <v>27</v>
      </c>
      <c r="Z214" s="4">
        <v>0</v>
      </c>
      <c r="AA214" s="4">
        <v>0</v>
      </c>
      <c r="AB214" s="4">
        <v>0</v>
      </c>
      <c r="AC214" s="4">
        <v>0</v>
      </c>
      <c r="AD214" s="4"/>
      <c r="AE214" s="54">
        <v>-1.3270139694213871E-2</v>
      </c>
      <c r="AF214" s="54">
        <v>-0.99884039163589478</v>
      </c>
    </row>
    <row r="215" spans="1:32" x14ac:dyDescent="0.2">
      <c r="A215" s="53" t="s">
        <v>2683</v>
      </c>
      <c r="B215" s="53" t="s">
        <v>2759</v>
      </c>
      <c r="C215" s="54" t="s">
        <v>2930</v>
      </c>
      <c r="D215" s="13" t="s">
        <v>1667</v>
      </c>
      <c r="E215" s="4" t="s">
        <v>1669</v>
      </c>
      <c r="F215" s="4" t="s">
        <v>1668</v>
      </c>
      <c r="G215" s="4" t="s">
        <v>46</v>
      </c>
      <c r="H215" s="4">
        <v>1201</v>
      </c>
      <c r="I215" s="5">
        <f t="shared" si="18"/>
        <v>937.80575317670957</v>
      </c>
      <c r="J215" s="4">
        <v>922</v>
      </c>
      <c r="K215" s="5">
        <f t="shared" si="19"/>
        <v>497.76142327374777</v>
      </c>
      <c r="L215" s="5">
        <v>0</v>
      </c>
      <c r="M215" s="5">
        <v>0</v>
      </c>
      <c r="N215" s="4">
        <v>0</v>
      </c>
      <c r="O215" s="5">
        <f t="shared" si="20"/>
        <v>0</v>
      </c>
      <c r="P215" s="4">
        <v>0</v>
      </c>
      <c r="Q215" s="4">
        <v>0</v>
      </c>
      <c r="R215" s="4">
        <v>0</v>
      </c>
      <c r="S215" s="5">
        <f t="shared" si="21"/>
        <v>0</v>
      </c>
      <c r="T215" s="5">
        <f t="shared" si="22"/>
        <v>0.53077241378359852</v>
      </c>
      <c r="U215" s="5">
        <f t="shared" si="23"/>
        <v>0</v>
      </c>
      <c r="V215" s="4">
        <v>6</v>
      </c>
      <c r="W215" s="4">
        <v>2</v>
      </c>
      <c r="X215" s="4">
        <v>6</v>
      </c>
      <c r="Y215" s="4">
        <v>-4</v>
      </c>
      <c r="Z215" s="4">
        <v>0</v>
      </c>
      <c r="AA215" s="4">
        <v>0</v>
      </c>
      <c r="AB215" s="4">
        <v>0</v>
      </c>
      <c r="AC215" s="4">
        <v>0</v>
      </c>
      <c r="AD215" s="4"/>
      <c r="AE215" s="54">
        <v>-9.1195106506347656E-4</v>
      </c>
      <c r="AF215" s="54">
        <v>-0.65525186061859131</v>
      </c>
    </row>
    <row r="216" spans="1:32" x14ac:dyDescent="0.2">
      <c r="A216" s="53" t="s">
        <v>2683</v>
      </c>
      <c r="B216" s="53" t="s">
        <v>2758</v>
      </c>
      <c r="C216" s="54" t="s">
        <v>2931</v>
      </c>
      <c r="D216" s="13" t="s">
        <v>1698</v>
      </c>
      <c r="E216" s="4" t="s">
        <v>1700</v>
      </c>
      <c r="F216" s="4" t="s">
        <v>1699</v>
      </c>
      <c r="G216" s="4" t="s">
        <v>46</v>
      </c>
      <c r="H216" s="4">
        <v>3997</v>
      </c>
      <c r="I216" s="5">
        <f t="shared" si="18"/>
        <v>3121.073768066035</v>
      </c>
      <c r="J216" s="4">
        <v>3646</v>
      </c>
      <c r="K216" s="5">
        <f t="shared" si="19"/>
        <v>1968.3710946378353</v>
      </c>
      <c r="L216" s="5">
        <v>0</v>
      </c>
      <c r="M216" s="5">
        <v>0</v>
      </c>
      <c r="N216" s="4">
        <v>0</v>
      </c>
      <c r="O216" s="5">
        <f t="shared" si="20"/>
        <v>0</v>
      </c>
      <c r="P216" s="4">
        <v>0</v>
      </c>
      <c r="Q216" s="4">
        <v>0</v>
      </c>
      <c r="R216" s="4">
        <v>0</v>
      </c>
      <c r="S216" s="5">
        <f t="shared" si="21"/>
        <v>0</v>
      </c>
      <c r="T216" s="5">
        <f t="shared" si="22"/>
        <v>0.63067112183558904</v>
      </c>
      <c r="U216" s="5">
        <f t="shared" si="23"/>
        <v>0</v>
      </c>
      <c r="V216" s="4">
        <v>12</v>
      </c>
      <c r="W216" s="4">
        <v>1</v>
      </c>
      <c r="X216" s="4">
        <v>41</v>
      </c>
      <c r="Y216" s="4">
        <v>-38</v>
      </c>
      <c r="Z216" s="4">
        <v>0</v>
      </c>
      <c r="AA216" s="4">
        <v>0</v>
      </c>
      <c r="AB216" s="4">
        <v>0</v>
      </c>
      <c r="AC216" s="4">
        <v>0</v>
      </c>
      <c r="AD216" s="4"/>
      <c r="AE216" s="54">
        <v>-3.1137466430664062E-4</v>
      </c>
      <c r="AF216" s="54">
        <v>-0.37327557802200317</v>
      </c>
    </row>
    <row r="217" spans="1:32" x14ac:dyDescent="0.2">
      <c r="A217" s="53" t="s">
        <v>2683</v>
      </c>
      <c r="B217" s="53" t="s">
        <v>2760</v>
      </c>
      <c r="C217" s="54" t="s">
        <v>2933</v>
      </c>
      <c r="D217" s="13" t="s">
        <v>623</v>
      </c>
      <c r="E217" s="4" t="s">
        <v>625</v>
      </c>
      <c r="F217" s="4" t="s">
        <v>624</v>
      </c>
      <c r="G217" s="4" t="s">
        <v>46</v>
      </c>
      <c r="H217" s="4">
        <v>1481</v>
      </c>
      <c r="I217" s="5">
        <f t="shared" si="18"/>
        <v>1156.4448962986735</v>
      </c>
      <c r="J217" s="4">
        <v>3601</v>
      </c>
      <c r="K217" s="5">
        <f t="shared" si="19"/>
        <v>1944.0768820051687</v>
      </c>
      <c r="L217" s="5">
        <v>0</v>
      </c>
      <c r="M217" s="5">
        <v>0</v>
      </c>
      <c r="N217" s="4">
        <v>0</v>
      </c>
      <c r="O217" s="5">
        <f t="shared" si="20"/>
        <v>0</v>
      </c>
      <c r="P217" s="4">
        <v>0</v>
      </c>
      <c r="Q217" s="4">
        <v>0</v>
      </c>
      <c r="R217" s="4">
        <v>0</v>
      </c>
      <c r="S217" s="5">
        <f t="shared" si="21"/>
        <v>0</v>
      </c>
      <c r="T217" s="5">
        <f t="shared" si="22"/>
        <v>1.6810804286718686</v>
      </c>
      <c r="U217" s="5">
        <f t="shared" si="23"/>
        <v>0</v>
      </c>
      <c r="V217" s="4">
        <v>7</v>
      </c>
      <c r="W217" s="4">
        <v>-38</v>
      </c>
      <c r="X217" s="4">
        <v>-1</v>
      </c>
      <c r="Y217" s="4">
        <v>14</v>
      </c>
      <c r="Z217" s="4">
        <v>0</v>
      </c>
      <c r="AA217" s="4">
        <v>0</v>
      </c>
      <c r="AB217" s="4">
        <v>0</v>
      </c>
      <c r="AC217" s="4">
        <v>0</v>
      </c>
      <c r="AD217" s="4"/>
      <c r="AE217" s="54">
        <v>-3.4968852996826172E-3</v>
      </c>
      <c r="AF217" s="54">
        <v>-0.96204376220703125</v>
      </c>
    </row>
    <row r="218" spans="1:32" x14ac:dyDescent="0.2">
      <c r="A218" s="53" t="s">
        <v>2683</v>
      </c>
      <c r="B218" s="53" t="s">
        <v>2757</v>
      </c>
      <c r="C218" s="54" t="s">
        <v>2934</v>
      </c>
      <c r="D218" s="13" t="s">
        <v>620</v>
      </c>
      <c r="E218" s="4" t="s">
        <v>622</v>
      </c>
      <c r="F218" s="4" t="s">
        <v>621</v>
      </c>
      <c r="G218" s="4" t="s">
        <v>46</v>
      </c>
      <c r="H218" s="4">
        <v>1965</v>
      </c>
      <c r="I218" s="5">
        <f t="shared" si="18"/>
        <v>1534.3782722666399</v>
      </c>
      <c r="J218" s="4">
        <v>4281</v>
      </c>
      <c r="K218" s="5">
        <f t="shared" si="19"/>
        <v>2311.1894284543537</v>
      </c>
      <c r="L218" s="5">
        <v>0</v>
      </c>
      <c r="M218" s="5">
        <v>0</v>
      </c>
      <c r="N218" s="4">
        <v>0</v>
      </c>
      <c r="O218" s="5">
        <f t="shared" si="20"/>
        <v>0</v>
      </c>
      <c r="P218" s="4">
        <v>0</v>
      </c>
      <c r="Q218" s="4">
        <v>0</v>
      </c>
      <c r="R218" s="4">
        <v>0</v>
      </c>
      <c r="S218" s="5">
        <f t="shared" si="21"/>
        <v>0</v>
      </c>
      <c r="T218" s="5">
        <f t="shared" si="22"/>
        <v>1.506270956926534</v>
      </c>
      <c r="U218" s="5">
        <f t="shared" si="23"/>
        <v>0</v>
      </c>
      <c r="V218" s="4">
        <v>-25</v>
      </c>
      <c r="W218" s="4">
        <v>15</v>
      </c>
      <c r="X218" s="4">
        <v>-30</v>
      </c>
      <c r="Y218" s="4">
        <v>-27</v>
      </c>
      <c r="Z218" s="4">
        <v>0</v>
      </c>
      <c r="AA218" s="4">
        <v>0</v>
      </c>
      <c r="AB218" s="4">
        <v>0</v>
      </c>
      <c r="AC218" s="4">
        <v>0</v>
      </c>
      <c r="AD218" s="4"/>
      <c r="AE218" s="54">
        <v>-2.8061866760253912E-4</v>
      </c>
      <c r="AF218" s="54">
        <v>-0.35324940085411072</v>
      </c>
    </row>
    <row r="219" spans="1:32" x14ac:dyDescent="0.2">
      <c r="A219" s="53" t="s">
        <v>2683</v>
      </c>
      <c r="B219" s="53" t="s">
        <v>2756</v>
      </c>
      <c r="C219" s="54" t="s">
        <v>2935</v>
      </c>
      <c r="D219" s="13" t="s">
        <v>1695</v>
      </c>
      <c r="E219" s="4" t="s">
        <v>1697</v>
      </c>
      <c r="F219" s="4" t="s">
        <v>1696</v>
      </c>
      <c r="G219" s="4" t="s">
        <v>46</v>
      </c>
      <c r="H219" s="4">
        <v>2565</v>
      </c>
      <c r="I219" s="5">
        <f t="shared" si="18"/>
        <v>2002.8907218137053</v>
      </c>
      <c r="J219" s="4">
        <v>556</v>
      </c>
      <c r="K219" s="5">
        <f t="shared" si="19"/>
        <v>300.16849386139234</v>
      </c>
      <c r="L219" s="5">
        <v>0</v>
      </c>
      <c r="M219" s="5">
        <v>0</v>
      </c>
      <c r="N219" s="4">
        <v>0</v>
      </c>
      <c r="O219" s="5">
        <f t="shared" si="20"/>
        <v>0</v>
      </c>
      <c r="P219" s="4">
        <v>0</v>
      </c>
      <c r="Q219" s="4">
        <v>0</v>
      </c>
      <c r="R219" s="4">
        <v>0</v>
      </c>
      <c r="S219" s="5">
        <f t="shared" si="21"/>
        <v>0</v>
      </c>
      <c r="T219" s="5">
        <f t="shared" si="22"/>
        <v>0.14986763411114942</v>
      </c>
      <c r="U219" s="5">
        <f t="shared" si="23"/>
        <v>0</v>
      </c>
      <c r="V219" s="4">
        <v>11</v>
      </c>
      <c r="W219" s="4">
        <v>-4</v>
      </c>
      <c r="X219" s="4">
        <v>11</v>
      </c>
      <c r="Y219" s="4">
        <v>-15</v>
      </c>
      <c r="Z219" s="4">
        <v>0</v>
      </c>
      <c r="AA219" s="4">
        <v>0</v>
      </c>
      <c r="AB219" s="4">
        <v>0</v>
      </c>
      <c r="AC219" s="4">
        <v>0</v>
      </c>
      <c r="AD219" s="4"/>
      <c r="AE219" s="54">
        <v>-1.8973350524902339E-3</v>
      </c>
      <c r="AF219" s="54">
        <v>-0.8596574068069458</v>
      </c>
    </row>
    <row r="220" spans="1:32" x14ac:dyDescent="0.2">
      <c r="A220" s="53" t="s">
        <v>2683</v>
      </c>
      <c r="B220" s="53" t="s">
        <v>2755</v>
      </c>
      <c r="C220" s="54" t="s">
        <v>2936</v>
      </c>
      <c r="D220" s="13" t="s">
        <v>1664</v>
      </c>
      <c r="E220" s="4" t="s">
        <v>1666</v>
      </c>
      <c r="F220" s="4" t="s">
        <v>1665</v>
      </c>
      <c r="G220" s="4" t="s">
        <v>46</v>
      </c>
      <c r="H220" s="4">
        <v>877</v>
      </c>
      <c r="I220" s="5">
        <f t="shared" si="18"/>
        <v>684.80903042129421</v>
      </c>
      <c r="J220" s="4">
        <v>2454</v>
      </c>
      <c r="K220" s="5">
        <f t="shared" si="19"/>
        <v>1324.8443955680877</v>
      </c>
      <c r="L220" s="5">
        <v>0</v>
      </c>
      <c r="M220" s="5">
        <v>0</v>
      </c>
      <c r="N220" s="4">
        <v>0</v>
      </c>
      <c r="O220" s="5">
        <f t="shared" si="20"/>
        <v>0</v>
      </c>
      <c r="P220" s="4">
        <v>0</v>
      </c>
      <c r="Q220" s="4">
        <v>0</v>
      </c>
      <c r="R220" s="4">
        <v>0</v>
      </c>
      <c r="S220" s="5">
        <f t="shared" si="21"/>
        <v>0</v>
      </c>
      <c r="T220" s="5">
        <f t="shared" si="22"/>
        <v>1.9346187575141118</v>
      </c>
      <c r="U220" s="5">
        <f t="shared" si="23"/>
        <v>0</v>
      </c>
      <c r="V220" s="4">
        <v>5</v>
      </c>
      <c r="W220" s="4">
        <v>49</v>
      </c>
      <c r="X220" s="4">
        <v>-1</v>
      </c>
      <c r="Y220" s="4">
        <v>35</v>
      </c>
      <c r="Z220" s="4">
        <v>0</v>
      </c>
      <c r="AA220" s="4">
        <v>0</v>
      </c>
      <c r="AB220" s="4">
        <v>0</v>
      </c>
      <c r="AC220" s="4">
        <v>0</v>
      </c>
      <c r="AD220" s="4"/>
      <c r="AE220" s="54">
        <v>4.796981811523438E-4</v>
      </c>
      <c r="AF220" s="54">
        <v>0.47702011466026312</v>
      </c>
    </row>
    <row r="221" spans="1:32" x14ac:dyDescent="0.2">
      <c r="A221" s="53" t="s">
        <v>2683</v>
      </c>
      <c r="B221" s="53" t="s">
        <v>2754</v>
      </c>
      <c r="C221" s="54" t="s">
        <v>2937</v>
      </c>
      <c r="D221" s="13" t="s">
        <v>1661</v>
      </c>
      <c r="E221" s="4" t="s">
        <v>1663</v>
      </c>
      <c r="F221" s="4" t="s">
        <v>1662</v>
      </c>
      <c r="G221" s="4" t="s">
        <v>46</v>
      </c>
      <c r="H221" s="4">
        <v>845</v>
      </c>
      <c r="I221" s="5">
        <f t="shared" si="18"/>
        <v>659.82169977878402</v>
      </c>
      <c r="J221" s="4">
        <v>3494</v>
      </c>
      <c r="K221" s="5">
        <f t="shared" si="19"/>
        <v>1886.3106430786058</v>
      </c>
      <c r="L221" s="5">
        <v>0</v>
      </c>
      <c r="M221" s="5">
        <v>0</v>
      </c>
      <c r="N221" s="4">
        <v>0</v>
      </c>
      <c r="O221" s="5">
        <f t="shared" si="20"/>
        <v>0</v>
      </c>
      <c r="P221" s="4">
        <v>0</v>
      </c>
      <c r="Q221" s="4">
        <v>0</v>
      </c>
      <c r="R221" s="4">
        <v>0</v>
      </c>
      <c r="S221" s="5">
        <f t="shared" si="21"/>
        <v>0</v>
      </c>
      <c r="T221" s="5">
        <f t="shared" si="22"/>
        <v>2.858818744080442</v>
      </c>
      <c r="U221" s="5">
        <f t="shared" si="23"/>
        <v>0</v>
      </c>
      <c r="V221" s="4" t="s">
        <v>21</v>
      </c>
      <c r="W221" s="4" t="s">
        <v>21</v>
      </c>
      <c r="X221" s="4" t="s">
        <v>21</v>
      </c>
      <c r="Y221" s="4" t="s">
        <v>21</v>
      </c>
      <c r="Z221" s="4">
        <v>0</v>
      </c>
      <c r="AA221" s="4">
        <v>0</v>
      </c>
      <c r="AB221" s="4">
        <v>0</v>
      </c>
      <c r="AC221" s="4">
        <v>0</v>
      </c>
      <c r="AD221" s="4"/>
      <c r="AE221" s="54">
        <v>2.2022724151611328E-3</v>
      </c>
      <c r="AF221" s="54">
        <v>0.89409929513931274</v>
      </c>
    </row>
    <row r="222" spans="1:32" x14ac:dyDescent="0.2">
      <c r="A222" s="53" t="s">
        <v>2683</v>
      </c>
      <c r="B222" s="53" t="s">
        <v>2753</v>
      </c>
      <c r="C222" s="54" t="s">
        <v>2938</v>
      </c>
      <c r="D222" s="13" t="s">
        <v>1430</v>
      </c>
      <c r="E222" s="4" t="s">
        <v>1432</v>
      </c>
      <c r="F222" s="4" t="s">
        <v>1431</v>
      </c>
      <c r="G222" s="4" t="s">
        <v>46</v>
      </c>
      <c r="H222" s="4">
        <v>976</v>
      </c>
      <c r="I222" s="5">
        <f t="shared" si="18"/>
        <v>762.11358459656003</v>
      </c>
      <c r="J222" s="4">
        <v>2666</v>
      </c>
      <c r="K222" s="5">
        <f t="shared" si="19"/>
        <v>1439.2971306375396</v>
      </c>
      <c r="L222" s="5">
        <v>0</v>
      </c>
      <c r="M222" s="5">
        <v>0</v>
      </c>
      <c r="N222" s="4">
        <v>0</v>
      </c>
      <c r="O222" s="5">
        <f t="shared" si="20"/>
        <v>0</v>
      </c>
      <c r="P222" s="4">
        <v>0</v>
      </c>
      <c r="Q222" s="4">
        <v>0</v>
      </c>
      <c r="R222" s="4">
        <v>0</v>
      </c>
      <c r="S222" s="5">
        <f t="shared" si="21"/>
        <v>0</v>
      </c>
      <c r="T222" s="5">
        <f t="shared" si="22"/>
        <v>1.8885598678830271</v>
      </c>
      <c r="U222" s="5">
        <f t="shared" si="23"/>
        <v>0</v>
      </c>
      <c r="V222" s="4">
        <v>-7</v>
      </c>
      <c r="W222" s="4">
        <v>12</v>
      </c>
      <c r="X222" s="4">
        <v>-7</v>
      </c>
      <c r="Y222" s="4">
        <v>-40</v>
      </c>
      <c r="Z222" s="4">
        <v>0</v>
      </c>
      <c r="AA222" s="4">
        <v>0</v>
      </c>
      <c r="AB222" s="4">
        <v>0</v>
      </c>
      <c r="AC222" s="4">
        <v>0</v>
      </c>
      <c r="AD222" s="4"/>
      <c r="AE222" s="54">
        <v>-1.8470287322998049E-3</v>
      </c>
      <c r="AF222" s="54">
        <v>-0.85035198926925659</v>
      </c>
    </row>
    <row r="223" spans="1:32" x14ac:dyDescent="0.2">
      <c r="A223" s="53" t="s">
        <v>2683</v>
      </c>
      <c r="B223" s="53" t="s">
        <v>2745</v>
      </c>
      <c r="C223" s="54" t="s">
        <v>2941</v>
      </c>
      <c r="D223" s="13" t="s">
        <v>1418</v>
      </c>
      <c r="E223" s="4" t="s">
        <v>1420</v>
      </c>
      <c r="F223" s="4" t="s">
        <v>1419</v>
      </c>
      <c r="G223" s="4" t="s">
        <v>46</v>
      </c>
      <c r="H223" s="4">
        <v>1414</v>
      </c>
      <c r="I223" s="5">
        <f t="shared" si="18"/>
        <v>1104.1276727659179</v>
      </c>
      <c r="J223" s="4">
        <v>4169</v>
      </c>
      <c r="K223" s="5">
        <f t="shared" si="19"/>
        <v>2250.7238325686058</v>
      </c>
      <c r="L223" s="5">
        <v>0</v>
      </c>
      <c r="M223" s="5">
        <v>0</v>
      </c>
      <c r="N223" s="4">
        <v>0</v>
      </c>
      <c r="O223" s="5">
        <f t="shared" si="20"/>
        <v>0</v>
      </c>
      <c r="P223" s="4">
        <v>0</v>
      </c>
      <c r="Q223" s="4">
        <v>0</v>
      </c>
      <c r="R223" s="4">
        <v>0</v>
      </c>
      <c r="S223" s="5">
        <f t="shared" si="21"/>
        <v>0</v>
      </c>
      <c r="T223" s="5">
        <f t="shared" si="22"/>
        <v>2.0384633843388631</v>
      </c>
      <c r="U223" s="5">
        <f t="shared" si="23"/>
        <v>0</v>
      </c>
      <c r="V223" s="4">
        <v>-33</v>
      </c>
      <c r="W223" s="4">
        <v>18</v>
      </c>
      <c r="X223" s="4">
        <v>-1</v>
      </c>
      <c r="Y223" s="4">
        <v>7</v>
      </c>
      <c r="Z223" s="4">
        <v>0</v>
      </c>
      <c r="AA223" s="4">
        <v>0</v>
      </c>
      <c r="AB223" s="4">
        <v>0</v>
      </c>
      <c r="AC223" s="4">
        <v>0</v>
      </c>
      <c r="AD223" s="4"/>
      <c r="AE223" s="54">
        <v>-2.927780151367188E-4</v>
      </c>
      <c r="AF223" s="54">
        <v>-0.36330443620681763</v>
      </c>
    </row>
    <row r="224" spans="1:32" x14ac:dyDescent="0.2">
      <c r="A224" s="53" t="s">
        <v>2683</v>
      </c>
      <c r="B224" s="53" t="s">
        <v>2743</v>
      </c>
      <c r="C224" s="54" t="s">
        <v>2942</v>
      </c>
      <c r="D224" s="13" t="s">
        <v>617</v>
      </c>
      <c r="E224" s="4" t="s">
        <v>619</v>
      </c>
      <c r="F224" s="4" t="s">
        <v>618</v>
      </c>
      <c r="G224" s="4" t="s">
        <v>46</v>
      </c>
      <c r="H224" s="4">
        <v>1786</v>
      </c>
      <c r="I224" s="5">
        <f t="shared" si="18"/>
        <v>1394.6053914850986</v>
      </c>
      <c r="J224" s="4">
        <v>4883</v>
      </c>
      <c r="K224" s="5">
        <f t="shared" si="19"/>
        <v>2636.1920063402499</v>
      </c>
      <c r="L224" s="5">
        <v>0</v>
      </c>
      <c r="M224" s="5">
        <v>0</v>
      </c>
      <c r="N224" s="4">
        <v>0</v>
      </c>
      <c r="O224" s="5">
        <f t="shared" si="20"/>
        <v>0</v>
      </c>
      <c r="P224" s="4">
        <v>0</v>
      </c>
      <c r="Q224" s="4">
        <v>0</v>
      </c>
      <c r="R224" s="4">
        <v>0</v>
      </c>
      <c r="S224" s="5">
        <f t="shared" si="21"/>
        <v>0</v>
      </c>
      <c r="T224" s="5">
        <f t="shared" si="22"/>
        <v>1.8902780832741515</v>
      </c>
      <c r="U224" s="5">
        <f t="shared" si="23"/>
        <v>0</v>
      </c>
      <c r="V224" s="4">
        <v>2</v>
      </c>
      <c r="W224" s="4">
        <v>-19</v>
      </c>
      <c r="X224" s="4">
        <v>2</v>
      </c>
      <c r="Y224" s="4">
        <v>-19</v>
      </c>
      <c r="Z224" s="4">
        <v>0</v>
      </c>
      <c r="AA224" s="4">
        <v>0</v>
      </c>
      <c r="AB224" s="4">
        <v>0</v>
      </c>
      <c r="AC224" s="4">
        <v>0</v>
      </c>
      <c r="AD224" s="4"/>
      <c r="AE224" s="54">
        <v>6.1392784118652344E-4</v>
      </c>
      <c r="AF224" s="54">
        <v>0.54511702060699463</v>
      </c>
    </row>
    <row r="225" spans="1:32" x14ac:dyDescent="0.2">
      <c r="A225" s="53" t="s">
        <v>2683</v>
      </c>
      <c r="B225" s="53" t="s">
        <v>2742</v>
      </c>
      <c r="C225" s="54" t="s">
        <v>2943</v>
      </c>
      <c r="D225" s="13" t="s">
        <v>614</v>
      </c>
      <c r="E225" s="4" t="s">
        <v>616</v>
      </c>
      <c r="F225" s="4" t="s">
        <v>615</v>
      </c>
      <c r="G225" s="4" t="s">
        <v>46</v>
      </c>
      <c r="H225" s="4">
        <v>2095</v>
      </c>
      <c r="I225" s="5">
        <f t="shared" si="18"/>
        <v>1635.8893030018373</v>
      </c>
      <c r="J225" s="4">
        <v>1330</v>
      </c>
      <c r="K225" s="5">
        <f t="shared" si="19"/>
        <v>718.02895114325872</v>
      </c>
      <c r="L225" s="5">
        <v>0</v>
      </c>
      <c r="M225" s="5">
        <v>0</v>
      </c>
      <c r="N225" s="4">
        <v>0</v>
      </c>
      <c r="O225" s="5">
        <f t="shared" si="20"/>
        <v>0</v>
      </c>
      <c r="P225" s="4">
        <v>0</v>
      </c>
      <c r="Q225" s="4">
        <v>0</v>
      </c>
      <c r="R225" s="4">
        <v>0</v>
      </c>
      <c r="S225" s="5">
        <f t="shared" si="21"/>
        <v>0</v>
      </c>
      <c r="T225" s="5">
        <f t="shared" si="22"/>
        <v>0.4389227008365934</v>
      </c>
      <c r="U225" s="5">
        <f t="shared" si="23"/>
        <v>0</v>
      </c>
      <c r="V225" s="4">
        <v>3</v>
      </c>
      <c r="W225" s="4">
        <v>31</v>
      </c>
      <c r="X225" s="4">
        <v>3</v>
      </c>
      <c r="Y225" s="4">
        <v>26</v>
      </c>
      <c r="Z225" s="4">
        <v>0</v>
      </c>
      <c r="AA225" s="4">
        <v>0</v>
      </c>
      <c r="AB225" s="4">
        <v>0</v>
      </c>
      <c r="AC225" s="4">
        <v>0</v>
      </c>
      <c r="AD225" s="4"/>
      <c r="AE225" s="54">
        <v>-6.2060356140136719E-4</v>
      </c>
      <c r="AF225" s="54">
        <v>-0.53695803880691528</v>
      </c>
    </row>
    <row r="226" spans="1:32" x14ac:dyDescent="0.2">
      <c r="A226" s="53" t="s">
        <v>2683</v>
      </c>
      <c r="B226" s="53" t="s">
        <v>2741</v>
      </c>
      <c r="C226" s="54" t="s">
        <v>2946</v>
      </c>
      <c r="D226" s="13" t="s">
        <v>611</v>
      </c>
      <c r="E226" s="4" t="s">
        <v>613</v>
      </c>
      <c r="F226" s="4" t="s">
        <v>612</v>
      </c>
      <c r="G226" s="4" t="s">
        <v>46</v>
      </c>
      <c r="H226" s="4">
        <v>641</v>
      </c>
      <c r="I226" s="5">
        <f t="shared" si="18"/>
        <v>500.52746693278181</v>
      </c>
      <c r="J226" s="4">
        <v>3734</v>
      </c>
      <c r="K226" s="5">
        <f t="shared" si="19"/>
        <v>2015.8797771194945</v>
      </c>
      <c r="L226" s="5">
        <v>0</v>
      </c>
      <c r="M226" s="5">
        <v>0</v>
      </c>
      <c r="N226" s="4">
        <v>0</v>
      </c>
      <c r="O226" s="5">
        <f t="shared" si="20"/>
        <v>0</v>
      </c>
      <c r="P226" s="4">
        <v>0</v>
      </c>
      <c r="Q226" s="4">
        <v>0</v>
      </c>
      <c r="R226" s="4">
        <v>0</v>
      </c>
      <c r="S226" s="5">
        <f t="shared" si="21"/>
        <v>0</v>
      </c>
      <c r="T226" s="5">
        <f t="shared" si="22"/>
        <v>4.027510796705621</v>
      </c>
      <c r="U226" s="5">
        <f t="shared" si="23"/>
        <v>0</v>
      </c>
      <c r="V226" s="4">
        <v>23</v>
      </c>
      <c r="W226" s="4">
        <v>-1</v>
      </c>
      <c r="X226" s="4">
        <v>35</v>
      </c>
      <c r="Y226" s="4">
        <v>-1</v>
      </c>
      <c r="Z226" s="4">
        <v>0</v>
      </c>
      <c r="AA226" s="4">
        <v>0</v>
      </c>
      <c r="AB226" s="4">
        <v>0</v>
      </c>
      <c r="AC226" s="4">
        <v>0</v>
      </c>
      <c r="AD226" s="4"/>
      <c r="AE226" s="54">
        <v>1.1389255523681641E-3</v>
      </c>
      <c r="AF226" s="54">
        <v>0.72725653648376465</v>
      </c>
    </row>
    <row r="227" spans="1:32" x14ac:dyDescent="0.2">
      <c r="A227" s="53" t="s">
        <v>2683</v>
      </c>
      <c r="B227" s="53" t="s">
        <v>2737</v>
      </c>
      <c r="C227" s="54" t="s">
        <v>2950</v>
      </c>
      <c r="D227" s="13" t="s">
        <v>39</v>
      </c>
      <c r="E227" s="4" t="s">
        <v>41</v>
      </c>
      <c r="F227" s="4" t="s">
        <v>40</v>
      </c>
      <c r="G227" s="4" t="s">
        <v>46</v>
      </c>
      <c r="H227" s="4">
        <v>645</v>
      </c>
      <c r="I227" s="5">
        <f t="shared" si="18"/>
        <v>503.65088326309547</v>
      </c>
      <c r="J227" s="4">
        <v>921</v>
      </c>
      <c r="K227" s="5">
        <f t="shared" si="19"/>
        <v>497.22155188191067</v>
      </c>
      <c r="L227" s="5">
        <v>0</v>
      </c>
      <c r="M227" s="5">
        <v>0</v>
      </c>
      <c r="N227" s="4">
        <v>0</v>
      </c>
      <c r="O227" s="5">
        <f t="shared" si="20"/>
        <v>0</v>
      </c>
      <c r="P227" s="4">
        <v>0</v>
      </c>
      <c r="Q227" s="4">
        <v>0</v>
      </c>
      <c r="R227" s="4">
        <v>0</v>
      </c>
      <c r="S227" s="5">
        <f t="shared" si="21"/>
        <v>0</v>
      </c>
      <c r="T227" s="5">
        <f t="shared" si="22"/>
        <v>0.98723454759072415</v>
      </c>
      <c r="U227" s="5">
        <f t="shared" si="23"/>
        <v>0</v>
      </c>
      <c r="V227" s="4">
        <v>-6</v>
      </c>
      <c r="W227" s="4">
        <v>-16</v>
      </c>
      <c r="X227" s="4">
        <v>-6</v>
      </c>
      <c r="Y227" s="4">
        <v>-16</v>
      </c>
      <c r="Z227" s="4">
        <v>0</v>
      </c>
      <c r="AA227" s="4">
        <v>0</v>
      </c>
      <c r="AB227" s="4" t="s">
        <v>21</v>
      </c>
      <c r="AC227" s="4" t="s">
        <v>21</v>
      </c>
      <c r="AD227" s="4"/>
      <c r="AE227" s="54">
        <v>-6.6781044006347656E-4</v>
      </c>
      <c r="AF227" s="54">
        <v>-0.56112885475158691</v>
      </c>
    </row>
    <row r="228" spans="1:32" x14ac:dyDescent="0.2">
      <c r="A228" s="53" t="s">
        <v>2683</v>
      </c>
      <c r="B228" s="53" t="s">
        <v>2736</v>
      </c>
      <c r="C228" s="54" t="s">
        <v>2951</v>
      </c>
      <c r="D228" s="13" t="s">
        <v>108</v>
      </c>
      <c r="E228" s="4" t="s">
        <v>110</v>
      </c>
      <c r="F228" s="4" t="s">
        <v>109</v>
      </c>
      <c r="G228" s="4" t="s">
        <v>46</v>
      </c>
      <c r="H228" s="4">
        <v>442</v>
      </c>
      <c r="I228" s="5">
        <f t="shared" si="18"/>
        <v>345.13750449967165</v>
      </c>
      <c r="J228" s="4">
        <v>2296</v>
      </c>
      <c r="K228" s="5">
        <f t="shared" si="19"/>
        <v>1239.5447156578359</v>
      </c>
      <c r="L228" s="5">
        <v>0</v>
      </c>
      <c r="M228" s="5">
        <v>0</v>
      </c>
      <c r="N228" s="4">
        <v>0</v>
      </c>
      <c r="O228" s="5">
        <f t="shared" si="20"/>
        <v>0</v>
      </c>
      <c r="P228" s="4">
        <v>0</v>
      </c>
      <c r="Q228" s="4">
        <v>0</v>
      </c>
      <c r="R228" s="4">
        <v>0</v>
      </c>
      <c r="S228" s="5">
        <f t="shared" si="21"/>
        <v>0</v>
      </c>
      <c r="T228" s="5">
        <f t="shared" si="22"/>
        <v>3.5914518112273575</v>
      </c>
      <c r="U228" s="5">
        <f t="shared" si="23"/>
        <v>0</v>
      </c>
      <c r="V228" s="4" t="s">
        <v>21</v>
      </c>
      <c r="W228" s="4" t="s">
        <v>21</v>
      </c>
      <c r="X228" s="4" t="s">
        <v>21</v>
      </c>
      <c r="Y228" s="4" t="s">
        <v>21</v>
      </c>
      <c r="Z228" s="4" t="s">
        <v>21</v>
      </c>
      <c r="AA228" s="4" t="s">
        <v>21</v>
      </c>
      <c r="AB228" s="4">
        <v>0</v>
      </c>
      <c r="AC228" s="4">
        <v>0</v>
      </c>
      <c r="AD228" s="4"/>
      <c r="AE228" s="54">
        <v>4.38690185546875E-4</v>
      </c>
      <c r="AF228" s="54">
        <v>0.4590030312538147</v>
      </c>
    </row>
    <row r="229" spans="1:32" x14ac:dyDescent="0.2">
      <c r="A229" s="53" t="s">
        <v>2683</v>
      </c>
      <c r="B229" s="53" t="s">
        <v>2734</v>
      </c>
      <c r="C229" s="54" t="s">
        <v>2952</v>
      </c>
      <c r="D229" s="13" t="s">
        <v>1722</v>
      </c>
      <c r="E229" s="4" t="s">
        <v>1724</v>
      </c>
      <c r="F229" s="4" t="s">
        <v>1723</v>
      </c>
      <c r="G229" s="4" t="s">
        <v>46</v>
      </c>
      <c r="H229" s="4">
        <v>1140</v>
      </c>
      <c r="I229" s="5">
        <f t="shared" si="18"/>
        <v>890.17365413942468</v>
      </c>
      <c r="J229" s="4">
        <v>4368</v>
      </c>
      <c r="K229" s="5">
        <f t="shared" si="19"/>
        <v>2358.1582395441756</v>
      </c>
      <c r="L229" s="5">
        <v>0</v>
      </c>
      <c r="M229" s="5">
        <v>0</v>
      </c>
      <c r="N229" s="4">
        <v>0</v>
      </c>
      <c r="O229" s="5">
        <f t="shared" si="20"/>
        <v>0</v>
      </c>
      <c r="P229" s="4">
        <v>0</v>
      </c>
      <c r="Q229" s="4">
        <v>0</v>
      </c>
      <c r="R229" s="4">
        <v>0</v>
      </c>
      <c r="S229" s="5">
        <f t="shared" si="21"/>
        <v>0</v>
      </c>
      <c r="T229" s="5">
        <f t="shared" si="22"/>
        <v>2.649099115187727</v>
      </c>
      <c r="U229" s="5">
        <f t="shared" si="23"/>
        <v>0</v>
      </c>
      <c r="V229" s="4">
        <v>9</v>
      </c>
      <c r="W229" s="4">
        <v>1</v>
      </c>
      <c r="X229" s="4">
        <v>9</v>
      </c>
      <c r="Y229" s="4">
        <v>1</v>
      </c>
      <c r="Z229" s="4">
        <v>0</v>
      </c>
      <c r="AA229" s="4">
        <v>0</v>
      </c>
      <c r="AB229" s="4">
        <v>0</v>
      </c>
      <c r="AC229" s="4">
        <v>0</v>
      </c>
      <c r="AD229" s="4"/>
      <c r="AE229" s="54">
        <v>6.4015388488769531E-4</v>
      </c>
      <c r="AF229" s="54">
        <v>0.55317401885986328</v>
      </c>
    </row>
    <row r="230" spans="1:32" x14ac:dyDescent="0.2">
      <c r="A230" s="53" t="s">
        <v>2683</v>
      </c>
      <c r="B230" s="53" t="s">
        <v>2735</v>
      </c>
      <c r="C230" s="54" t="s">
        <v>2953</v>
      </c>
      <c r="D230" s="13" t="s">
        <v>1725</v>
      </c>
      <c r="E230" s="4" t="s">
        <v>1727</v>
      </c>
      <c r="F230" s="4" t="s">
        <v>1726</v>
      </c>
      <c r="G230" s="4" t="s">
        <v>46</v>
      </c>
      <c r="H230" s="4">
        <v>107</v>
      </c>
      <c r="I230" s="5">
        <f t="shared" si="18"/>
        <v>83.551386835893368</v>
      </c>
      <c r="J230" s="4">
        <v>3626</v>
      </c>
      <c r="K230" s="5">
        <f t="shared" si="19"/>
        <v>1957.5736668010945</v>
      </c>
      <c r="L230" s="5">
        <v>0</v>
      </c>
      <c r="M230" s="5">
        <v>1</v>
      </c>
      <c r="N230" s="4">
        <v>0</v>
      </c>
      <c r="O230" s="5">
        <f t="shared" si="20"/>
        <v>0.33333333333333331</v>
      </c>
      <c r="P230" s="4">
        <v>0</v>
      </c>
      <c r="Q230" s="4">
        <v>0</v>
      </c>
      <c r="R230" s="4">
        <v>0</v>
      </c>
      <c r="S230" s="5">
        <f t="shared" si="21"/>
        <v>0</v>
      </c>
      <c r="T230" s="5">
        <f t="shared" si="22"/>
        <v>23.429577185188361</v>
      </c>
      <c r="U230" s="5">
        <f t="shared" si="23"/>
        <v>0</v>
      </c>
      <c r="V230" s="4">
        <v>30</v>
      </c>
      <c r="W230" s="4">
        <v>-22</v>
      </c>
      <c r="X230" s="4">
        <v>-3</v>
      </c>
      <c r="Y230" s="4">
        <v>-1</v>
      </c>
      <c r="Z230" s="4">
        <v>0</v>
      </c>
      <c r="AA230" s="4">
        <v>0</v>
      </c>
      <c r="AB230" s="4">
        <v>0</v>
      </c>
      <c r="AC230" s="4">
        <v>0.01</v>
      </c>
      <c r="AD230" s="4"/>
      <c r="AE230" s="54">
        <v>-5.1021575927734382E-5</v>
      </c>
      <c r="AF230" s="54">
        <v>-0.14885358512401581</v>
      </c>
    </row>
    <row r="231" spans="1:32" x14ac:dyDescent="0.2">
      <c r="A231" s="53" t="s">
        <v>2683</v>
      </c>
      <c r="B231" s="53" t="s">
        <v>2732</v>
      </c>
      <c r="C231" s="54" t="s">
        <v>2955</v>
      </c>
      <c r="D231" s="13" t="s">
        <v>257</v>
      </c>
      <c r="E231" s="4" t="s">
        <v>259</v>
      </c>
      <c r="F231" s="4" t="s">
        <v>258</v>
      </c>
      <c r="G231" s="4" t="s">
        <v>111</v>
      </c>
      <c r="H231" s="4">
        <v>1886</v>
      </c>
      <c r="I231" s="5">
        <f t="shared" si="18"/>
        <v>1472.690799742943</v>
      </c>
      <c r="J231" s="4">
        <v>1076</v>
      </c>
      <c r="K231" s="5">
        <f t="shared" si="19"/>
        <v>580.90161761665138</v>
      </c>
      <c r="L231" s="5">
        <v>0</v>
      </c>
      <c r="M231" s="5">
        <v>0</v>
      </c>
      <c r="N231" s="4">
        <v>0</v>
      </c>
      <c r="O231" s="5">
        <f t="shared" si="20"/>
        <v>0</v>
      </c>
      <c r="P231" s="4">
        <v>0</v>
      </c>
      <c r="Q231" s="4">
        <v>0</v>
      </c>
      <c r="R231" s="4">
        <v>0</v>
      </c>
      <c r="S231" s="5">
        <f t="shared" si="21"/>
        <v>0</v>
      </c>
      <c r="T231" s="5">
        <f t="shared" si="22"/>
        <v>0.39444913875882653</v>
      </c>
      <c r="U231" s="5">
        <f t="shared" si="23"/>
        <v>0</v>
      </c>
      <c r="V231" s="4">
        <v>-44</v>
      </c>
      <c r="W231" s="4">
        <v>-45</v>
      </c>
      <c r="X231" s="4">
        <v>-45</v>
      </c>
      <c r="Y231" s="4">
        <v>16</v>
      </c>
      <c r="Z231" s="4">
        <v>0</v>
      </c>
      <c r="AA231" s="4">
        <v>0</v>
      </c>
      <c r="AB231" s="4">
        <v>0</v>
      </c>
      <c r="AC231" s="4">
        <v>0</v>
      </c>
      <c r="AD231" s="4"/>
      <c r="AE231" s="54">
        <v>-3.9979934692382812E-2</v>
      </c>
      <c r="AF231" s="54">
        <v>-0.99974697828292847</v>
      </c>
    </row>
    <row r="232" spans="1:32" x14ac:dyDescent="0.2">
      <c r="A232" s="53" t="s">
        <v>2683</v>
      </c>
      <c r="B232" s="53" t="s">
        <v>2733</v>
      </c>
      <c r="C232" s="54" t="s">
        <v>2956</v>
      </c>
      <c r="D232" s="13" t="s">
        <v>82</v>
      </c>
      <c r="E232" s="4" t="s">
        <v>84</v>
      </c>
      <c r="F232" s="4" t="s">
        <v>83</v>
      </c>
      <c r="G232" s="4" t="s">
        <v>111</v>
      </c>
      <c r="H232" s="4">
        <v>1069</v>
      </c>
      <c r="I232" s="5">
        <f t="shared" si="18"/>
        <v>834.73301427635522</v>
      </c>
      <c r="J232" s="4">
        <v>5172</v>
      </c>
      <c r="K232" s="5">
        <f t="shared" si="19"/>
        <v>2792.2148385811533</v>
      </c>
      <c r="L232" s="5">
        <v>0</v>
      </c>
      <c r="M232" s="5">
        <v>0</v>
      </c>
      <c r="N232" s="4">
        <v>0</v>
      </c>
      <c r="O232" s="5">
        <f t="shared" si="20"/>
        <v>0</v>
      </c>
      <c r="P232" s="4">
        <v>0</v>
      </c>
      <c r="Q232" s="4">
        <v>0</v>
      </c>
      <c r="R232" s="4">
        <v>0</v>
      </c>
      <c r="S232" s="5">
        <f t="shared" si="21"/>
        <v>0</v>
      </c>
      <c r="T232" s="5">
        <f t="shared" si="22"/>
        <v>3.3450394207802763</v>
      </c>
      <c r="U232" s="5">
        <f t="shared" si="23"/>
        <v>0</v>
      </c>
      <c r="V232" s="4">
        <v>-34</v>
      </c>
      <c r="W232" s="4">
        <v>32</v>
      </c>
      <c r="X232" s="4">
        <v>23</v>
      </c>
      <c r="Y232" s="4">
        <v>7</v>
      </c>
      <c r="Z232" s="4">
        <v>0</v>
      </c>
      <c r="AA232" s="4">
        <v>0</v>
      </c>
      <c r="AB232" s="4">
        <v>0.03</v>
      </c>
      <c r="AC232" s="4">
        <v>0</v>
      </c>
      <c r="AD232" s="4"/>
      <c r="AE232" s="54">
        <v>5.0067901611328118E-5</v>
      </c>
      <c r="AF232" s="54">
        <v>0.14885358512401581</v>
      </c>
    </row>
    <row r="233" spans="1:32" x14ac:dyDescent="0.2">
      <c r="A233" s="53" t="s">
        <v>2683</v>
      </c>
      <c r="B233" s="53" t="s">
        <v>2730</v>
      </c>
      <c r="C233" s="54" t="s">
        <v>2957</v>
      </c>
      <c r="D233" s="13" t="s">
        <v>254</v>
      </c>
      <c r="E233" s="4" t="s">
        <v>256</v>
      </c>
      <c r="F233" s="4" t="s">
        <v>255</v>
      </c>
      <c r="G233" s="4" t="s">
        <v>111</v>
      </c>
      <c r="H233" s="4">
        <v>336</v>
      </c>
      <c r="I233" s="5">
        <f t="shared" si="18"/>
        <v>262.36697174635668</v>
      </c>
      <c r="J233" s="4">
        <v>3281</v>
      </c>
      <c r="K233" s="5">
        <f t="shared" si="19"/>
        <v>1771.3180366173171</v>
      </c>
      <c r="L233" s="5">
        <v>0</v>
      </c>
      <c r="M233" s="5">
        <v>0</v>
      </c>
      <c r="N233" s="4">
        <v>0</v>
      </c>
      <c r="O233" s="5">
        <f t="shared" si="20"/>
        <v>0</v>
      </c>
      <c r="P233" s="4">
        <v>0</v>
      </c>
      <c r="Q233" s="4">
        <v>0</v>
      </c>
      <c r="R233" s="4">
        <v>0</v>
      </c>
      <c r="S233" s="5">
        <f t="shared" si="21"/>
        <v>0</v>
      </c>
      <c r="T233" s="5">
        <f t="shared" si="22"/>
        <v>6.751299619868842</v>
      </c>
      <c r="U233" s="5">
        <f t="shared" si="23"/>
        <v>0</v>
      </c>
      <c r="V233" s="4">
        <v>-30</v>
      </c>
      <c r="W233" s="4">
        <v>17</v>
      </c>
      <c r="X233" s="4">
        <v>-3</v>
      </c>
      <c r="Y233" s="4">
        <v>-32</v>
      </c>
      <c r="Z233" s="4">
        <v>0</v>
      </c>
      <c r="AA233" s="4">
        <v>0</v>
      </c>
      <c r="AB233" s="4">
        <v>0</v>
      </c>
      <c r="AC233" s="4">
        <v>0</v>
      </c>
      <c r="AD233" s="4"/>
      <c r="AE233" s="54">
        <v>-1.0651350021362299E-2</v>
      </c>
      <c r="AF233" s="54">
        <v>-0.99836128950119019</v>
      </c>
    </row>
    <row r="234" spans="1:32" x14ac:dyDescent="0.2">
      <c r="A234" s="53" t="s">
        <v>2683</v>
      </c>
      <c r="B234" s="53" t="s">
        <v>2726</v>
      </c>
      <c r="C234" s="54" t="s">
        <v>2961</v>
      </c>
      <c r="D234" s="13" t="s">
        <v>608</v>
      </c>
      <c r="E234" s="4" t="s">
        <v>610</v>
      </c>
      <c r="F234" s="4" t="s">
        <v>609</v>
      </c>
      <c r="G234" s="4" t="s">
        <v>42</v>
      </c>
      <c r="H234" s="4">
        <v>2666</v>
      </c>
      <c r="I234" s="5">
        <f t="shared" si="18"/>
        <v>2081.7569841541281</v>
      </c>
      <c r="J234" s="4">
        <v>4725</v>
      </c>
      <c r="K234" s="5">
        <f t="shared" si="19"/>
        <v>2550.8923264299979</v>
      </c>
      <c r="L234" s="5">
        <v>0</v>
      </c>
      <c r="M234" s="5">
        <v>0</v>
      </c>
      <c r="N234" s="4">
        <v>0</v>
      </c>
      <c r="O234" s="5">
        <f t="shared" si="20"/>
        <v>0</v>
      </c>
      <c r="P234" s="4">
        <v>0</v>
      </c>
      <c r="Q234" s="4">
        <v>0</v>
      </c>
      <c r="R234" s="4">
        <v>0</v>
      </c>
      <c r="S234" s="5">
        <f t="shared" si="21"/>
        <v>0</v>
      </c>
      <c r="T234" s="5">
        <f t="shared" si="22"/>
        <v>1.2253554789760879</v>
      </c>
      <c r="U234" s="5">
        <f t="shared" si="23"/>
        <v>0</v>
      </c>
      <c r="V234" s="4">
        <v>-2</v>
      </c>
      <c r="W234" s="4">
        <v>38</v>
      </c>
      <c r="X234" s="4">
        <v>-11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/>
      <c r="AE234" s="54">
        <v>-4.5704841613769531E-3</v>
      </c>
      <c r="AF234" s="54">
        <v>-0.98249727487564087</v>
      </c>
    </row>
    <row r="235" spans="1:32" x14ac:dyDescent="0.2">
      <c r="A235" s="53" t="s">
        <v>2683</v>
      </c>
      <c r="B235" s="53" t="s">
        <v>2723</v>
      </c>
      <c r="C235" s="54" t="s">
        <v>2964</v>
      </c>
      <c r="D235" s="13" t="s">
        <v>602</v>
      </c>
      <c r="E235" s="4" t="s">
        <v>604</v>
      </c>
      <c r="F235" s="4" t="s">
        <v>603</v>
      </c>
      <c r="G235" s="4" t="s">
        <v>42</v>
      </c>
      <c r="H235" s="4">
        <v>250</v>
      </c>
      <c r="I235" s="5">
        <f t="shared" si="18"/>
        <v>195.21352064461067</v>
      </c>
      <c r="J235" s="4">
        <v>1573</v>
      </c>
      <c r="K235" s="5">
        <f t="shared" si="19"/>
        <v>849.21769935965847</v>
      </c>
      <c r="L235" s="5">
        <v>0</v>
      </c>
      <c r="M235" s="5">
        <v>0</v>
      </c>
      <c r="N235" s="4">
        <v>0</v>
      </c>
      <c r="O235" s="5">
        <f t="shared" si="20"/>
        <v>0</v>
      </c>
      <c r="P235" s="4">
        <v>0</v>
      </c>
      <c r="Q235" s="4">
        <v>0</v>
      </c>
      <c r="R235" s="4">
        <v>0</v>
      </c>
      <c r="S235" s="5">
        <f t="shared" si="21"/>
        <v>0</v>
      </c>
      <c r="T235" s="5">
        <f t="shared" si="22"/>
        <v>4.3501991898689889</v>
      </c>
      <c r="U235" s="5">
        <f t="shared" si="23"/>
        <v>0</v>
      </c>
      <c r="V235" s="4">
        <v>-28</v>
      </c>
      <c r="W235" s="4">
        <v>-1</v>
      </c>
      <c r="X235" s="4">
        <v>44</v>
      </c>
      <c r="Y235" s="4">
        <v>-8</v>
      </c>
      <c r="Z235" s="4">
        <v>0</v>
      </c>
      <c r="AA235" s="4">
        <v>0</v>
      </c>
      <c r="AB235" s="4">
        <v>0</v>
      </c>
      <c r="AC235" s="4">
        <v>0</v>
      </c>
      <c r="AD235" s="4"/>
      <c r="AE235" s="54">
        <v>4.3606758117675781E-4</v>
      </c>
      <c r="AF235" s="54">
        <v>0.4590030312538147</v>
      </c>
    </row>
    <row r="236" spans="1:32" x14ac:dyDescent="0.2">
      <c r="A236" s="53" t="s">
        <v>2683</v>
      </c>
      <c r="B236" s="53" t="s">
        <v>2722</v>
      </c>
      <c r="C236" s="54" t="s">
        <v>2965</v>
      </c>
      <c r="D236" s="13" t="s">
        <v>599</v>
      </c>
      <c r="E236" s="4" t="s">
        <v>601</v>
      </c>
      <c r="F236" s="4" t="s">
        <v>600</v>
      </c>
      <c r="G236" s="4" t="s">
        <v>42</v>
      </c>
      <c r="H236" s="4">
        <v>480</v>
      </c>
      <c r="I236" s="5">
        <f t="shared" si="18"/>
        <v>374.80995963765247</v>
      </c>
      <c r="J236" s="4">
        <v>1350</v>
      </c>
      <c r="K236" s="5">
        <f t="shared" si="19"/>
        <v>728.82637897999939</v>
      </c>
      <c r="L236" s="5">
        <v>0</v>
      </c>
      <c r="M236" s="5">
        <v>0</v>
      </c>
      <c r="N236" s="4">
        <v>0</v>
      </c>
      <c r="O236" s="5">
        <f t="shared" si="20"/>
        <v>0</v>
      </c>
      <c r="P236" s="4">
        <v>0</v>
      </c>
      <c r="Q236" s="4">
        <v>0</v>
      </c>
      <c r="R236" s="4">
        <v>0</v>
      </c>
      <c r="S236" s="5">
        <f t="shared" si="21"/>
        <v>0</v>
      </c>
      <c r="T236" s="5">
        <f t="shared" si="22"/>
        <v>1.9445224446132443</v>
      </c>
      <c r="U236" s="5">
        <f t="shared" si="23"/>
        <v>0</v>
      </c>
      <c r="V236" s="4">
        <v>44</v>
      </c>
      <c r="W236" s="4">
        <v>-40</v>
      </c>
      <c r="X236" s="4">
        <v>5</v>
      </c>
      <c r="Y236" s="4">
        <v>-40</v>
      </c>
      <c r="Z236" s="4">
        <v>0</v>
      </c>
      <c r="AA236" s="4">
        <v>0</v>
      </c>
      <c r="AB236" s="4">
        <v>0</v>
      </c>
      <c r="AC236" s="4">
        <v>0.01</v>
      </c>
      <c r="AD236" s="4"/>
      <c r="AE236" s="54">
        <v>1.098871231079102E-3</v>
      </c>
      <c r="AF236" s="54">
        <v>0.71620386838912964</v>
      </c>
    </row>
    <row r="237" spans="1:32" x14ac:dyDescent="0.2">
      <c r="A237" s="53" t="s">
        <v>2683</v>
      </c>
      <c r="B237" s="53" t="s">
        <v>2720</v>
      </c>
      <c r="C237" s="54" t="s">
        <v>2967</v>
      </c>
      <c r="D237" s="13" t="s">
        <v>488</v>
      </c>
      <c r="E237" s="4" t="s">
        <v>490</v>
      </c>
      <c r="F237" s="4" t="s">
        <v>489</v>
      </c>
      <c r="G237" s="4" t="s">
        <v>42</v>
      </c>
      <c r="H237" s="4">
        <v>1842</v>
      </c>
      <c r="I237" s="5">
        <f t="shared" si="18"/>
        <v>1438.3332201094913</v>
      </c>
      <c r="J237" s="4">
        <v>3169</v>
      </c>
      <c r="K237" s="5">
        <f t="shared" si="19"/>
        <v>1710.852440731569</v>
      </c>
      <c r="L237" s="5">
        <v>0</v>
      </c>
      <c r="M237" s="5">
        <v>0</v>
      </c>
      <c r="N237" s="4">
        <v>0</v>
      </c>
      <c r="O237" s="5">
        <f t="shared" si="20"/>
        <v>0</v>
      </c>
      <c r="P237" s="4">
        <v>0</v>
      </c>
      <c r="Q237" s="4">
        <v>0</v>
      </c>
      <c r="R237" s="4">
        <v>0</v>
      </c>
      <c r="S237" s="5">
        <f t="shared" si="21"/>
        <v>0</v>
      </c>
      <c r="T237" s="5">
        <f t="shared" si="22"/>
        <v>1.1894687662163101</v>
      </c>
      <c r="U237" s="5">
        <f t="shared" si="23"/>
        <v>0</v>
      </c>
      <c r="V237" s="4">
        <v>-26</v>
      </c>
      <c r="W237" s="4">
        <v>-6</v>
      </c>
      <c r="X237" s="4">
        <v>-26</v>
      </c>
      <c r="Y237" s="4">
        <v>-6</v>
      </c>
      <c r="Z237" s="4">
        <v>0</v>
      </c>
      <c r="AA237" s="4">
        <v>0</v>
      </c>
      <c r="AB237" s="4">
        <v>0</v>
      </c>
      <c r="AC237" s="4">
        <v>0</v>
      </c>
      <c r="AD237" s="4"/>
      <c r="AE237" s="54">
        <v>1.3484954833984379E-3</v>
      </c>
      <c r="AF237" s="54">
        <v>0.77258259057998657</v>
      </c>
    </row>
    <row r="238" spans="1:32" x14ac:dyDescent="0.2">
      <c r="A238" s="53" t="s">
        <v>2683</v>
      </c>
      <c r="B238" s="53" t="s">
        <v>2719</v>
      </c>
      <c r="C238" s="54" t="s">
        <v>2968</v>
      </c>
      <c r="D238" s="13" t="s">
        <v>234</v>
      </c>
      <c r="E238" s="4" t="s">
        <v>236</v>
      </c>
      <c r="F238" s="4" t="s">
        <v>235</v>
      </c>
      <c r="G238" s="4" t="s">
        <v>1679</v>
      </c>
      <c r="H238" s="4">
        <v>1183</v>
      </c>
      <c r="I238" s="5">
        <f t="shared" si="18"/>
        <v>923.75037969029768</v>
      </c>
      <c r="J238" s="4">
        <v>2368</v>
      </c>
      <c r="K238" s="5">
        <f t="shared" si="19"/>
        <v>1278.4154558701027</v>
      </c>
      <c r="L238" s="5">
        <v>0</v>
      </c>
      <c r="M238" s="5">
        <v>0</v>
      </c>
      <c r="N238" s="4">
        <v>0</v>
      </c>
      <c r="O238" s="5">
        <f t="shared" si="20"/>
        <v>0</v>
      </c>
      <c r="P238" s="4">
        <v>0</v>
      </c>
      <c r="Q238" s="4">
        <v>0</v>
      </c>
      <c r="R238" s="4">
        <v>0</v>
      </c>
      <c r="S238" s="5">
        <f t="shared" si="21"/>
        <v>0</v>
      </c>
      <c r="T238" s="5">
        <f t="shared" si="22"/>
        <v>1.3839403847376088</v>
      </c>
      <c r="U238" s="5">
        <f t="shared" si="23"/>
        <v>0</v>
      </c>
      <c r="V238" s="4">
        <v>5</v>
      </c>
      <c r="W238" s="4">
        <v>44</v>
      </c>
      <c r="X238" s="4">
        <v>1</v>
      </c>
      <c r="Y238" s="4">
        <v>44</v>
      </c>
      <c r="Z238" s="4">
        <v>0</v>
      </c>
      <c r="AA238" s="4">
        <v>0</v>
      </c>
      <c r="AB238" s="4">
        <v>0</v>
      </c>
      <c r="AC238" s="4">
        <v>0</v>
      </c>
      <c r="AD238" s="4"/>
      <c r="AE238" s="54">
        <v>-3.5238265991210938E-4</v>
      </c>
      <c r="AF238" s="54">
        <v>-0.40266996622085571</v>
      </c>
    </row>
    <row r="239" spans="1:32" x14ac:dyDescent="0.2">
      <c r="A239" s="53" t="s">
        <v>2683</v>
      </c>
      <c r="B239" s="53" t="s">
        <v>2718</v>
      </c>
      <c r="C239" s="54" t="s">
        <v>2969</v>
      </c>
      <c r="D239" s="13" t="s">
        <v>596</v>
      </c>
      <c r="E239" s="4" t="s">
        <v>598</v>
      </c>
      <c r="F239" s="4" t="s">
        <v>597</v>
      </c>
      <c r="G239" s="4" t="s">
        <v>1679</v>
      </c>
      <c r="H239" s="4">
        <v>336</v>
      </c>
      <c r="I239" s="5">
        <f t="shared" si="18"/>
        <v>262.36697174635668</v>
      </c>
      <c r="J239" s="4">
        <v>3158</v>
      </c>
      <c r="K239" s="5">
        <f t="shared" si="19"/>
        <v>1704.9138554213616</v>
      </c>
      <c r="L239" s="5">
        <v>0</v>
      </c>
      <c r="M239" s="5">
        <v>0</v>
      </c>
      <c r="N239" s="4">
        <v>0</v>
      </c>
      <c r="O239" s="5">
        <f t="shared" si="20"/>
        <v>0</v>
      </c>
      <c r="P239" s="4">
        <v>0</v>
      </c>
      <c r="Q239" s="4">
        <v>0</v>
      </c>
      <c r="R239" s="4">
        <v>0</v>
      </c>
      <c r="S239" s="5">
        <f t="shared" si="21"/>
        <v>0</v>
      </c>
      <c r="T239" s="5">
        <f t="shared" si="22"/>
        <v>6.498203047712833</v>
      </c>
      <c r="U239" s="5">
        <f t="shared" si="23"/>
        <v>0</v>
      </c>
      <c r="V239" s="4">
        <v>42</v>
      </c>
      <c r="W239" s="4">
        <v>-44</v>
      </c>
      <c r="X239" s="4">
        <v>42</v>
      </c>
      <c r="Y239" s="4">
        <v>28</v>
      </c>
      <c r="Z239" s="4">
        <v>0</v>
      </c>
      <c r="AA239" s="4">
        <v>0</v>
      </c>
      <c r="AB239" s="4">
        <v>0</v>
      </c>
      <c r="AC239" s="4">
        <v>0</v>
      </c>
      <c r="AD239" s="4"/>
      <c r="AE239" s="54">
        <v>-4.3606758117675781E-4</v>
      </c>
      <c r="AF239" s="54">
        <v>-0.44984942674636841</v>
      </c>
    </row>
    <row r="240" spans="1:32" x14ac:dyDescent="0.2">
      <c r="A240" s="53" t="s">
        <v>2683</v>
      </c>
      <c r="B240" s="53" t="s">
        <v>2717</v>
      </c>
      <c r="C240" s="54" t="s">
        <v>2970</v>
      </c>
      <c r="D240" s="13" t="s">
        <v>1914</v>
      </c>
      <c r="E240" s="4" t="s">
        <v>1916</v>
      </c>
      <c r="F240" s="4" t="s">
        <v>1915</v>
      </c>
      <c r="G240" s="4" t="s">
        <v>38</v>
      </c>
      <c r="H240" s="4">
        <v>215</v>
      </c>
      <c r="I240" s="5">
        <f t="shared" si="18"/>
        <v>167.88362775436516</v>
      </c>
      <c r="J240" s="4">
        <v>4359</v>
      </c>
      <c r="K240" s="5">
        <f t="shared" si="19"/>
        <v>2353.2993970176426</v>
      </c>
      <c r="L240" s="5">
        <v>0</v>
      </c>
      <c r="M240" s="5">
        <v>0</v>
      </c>
      <c r="N240" s="4">
        <v>0</v>
      </c>
      <c r="O240" s="5">
        <f t="shared" si="20"/>
        <v>0</v>
      </c>
      <c r="P240" s="4">
        <v>0</v>
      </c>
      <c r="Q240" s="4">
        <v>0</v>
      </c>
      <c r="R240" s="4">
        <v>0</v>
      </c>
      <c r="S240" s="5">
        <f t="shared" si="21"/>
        <v>0</v>
      </c>
      <c r="T240" s="5">
        <f t="shared" si="22"/>
        <v>14.017444276703475</v>
      </c>
      <c r="U240" s="5">
        <f t="shared" si="23"/>
        <v>0</v>
      </c>
      <c r="V240" s="4">
        <v>-35</v>
      </c>
      <c r="W240" s="4">
        <v>-18</v>
      </c>
      <c r="X240" s="4">
        <v>36</v>
      </c>
      <c r="Y240" s="4">
        <v>-18</v>
      </c>
      <c r="Z240" s="10">
        <v>0</v>
      </c>
      <c r="AA240" s="10">
        <v>0</v>
      </c>
      <c r="AB240" s="10">
        <v>0</v>
      </c>
      <c r="AC240" s="10">
        <v>0</v>
      </c>
      <c r="AD240" s="4"/>
      <c r="AE240" s="54">
        <v>-2.6822090148925781E-4</v>
      </c>
      <c r="AF240" s="54">
        <v>-0.34311208128929138</v>
      </c>
    </row>
    <row r="241" spans="1:32" x14ac:dyDescent="0.2">
      <c r="A241" s="53" t="s">
        <v>2683</v>
      </c>
      <c r="B241" s="53" t="s">
        <v>2712</v>
      </c>
      <c r="C241" s="54" t="s">
        <v>2973</v>
      </c>
      <c r="D241" s="13" t="s">
        <v>1836</v>
      </c>
      <c r="E241" s="4" t="s">
        <v>1838</v>
      </c>
      <c r="F241" s="4" t="s">
        <v>1837</v>
      </c>
      <c r="G241" s="4" t="s">
        <v>38</v>
      </c>
      <c r="H241" s="4">
        <v>116</v>
      </c>
      <c r="I241" s="5">
        <f t="shared" si="18"/>
        <v>90.579073579099344</v>
      </c>
      <c r="J241" s="4">
        <v>2919</v>
      </c>
      <c r="K241" s="5">
        <f t="shared" si="19"/>
        <v>1575.8845927723098</v>
      </c>
      <c r="L241" s="5">
        <v>0</v>
      </c>
      <c r="M241" s="5">
        <v>0</v>
      </c>
      <c r="N241" s="4">
        <v>0</v>
      </c>
      <c r="O241" s="5">
        <f t="shared" si="20"/>
        <v>0</v>
      </c>
      <c r="P241" s="4">
        <v>0</v>
      </c>
      <c r="Q241" s="4">
        <v>0</v>
      </c>
      <c r="R241" s="4">
        <v>0</v>
      </c>
      <c r="S241" s="5">
        <f t="shared" si="21"/>
        <v>0</v>
      </c>
      <c r="T241" s="5">
        <f t="shared" si="22"/>
        <v>17.39788817111436</v>
      </c>
      <c r="U241" s="5">
        <f t="shared" si="23"/>
        <v>0</v>
      </c>
      <c r="V241" s="4" t="s">
        <v>21</v>
      </c>
      <c r="W241" s="4" t="s">
        <v>21</v>
      </c>
      <c r="X241" s="4" t="s">
        <v>21</v>
      </c>
      <c r="Y241" s="4" t="s">
        <v>21</v>
      </c>
      <c r="Z241" s="10">
        <v>0</v>
      </c>
      <c r="AA241" s="10">
        <v>0</v>
      </c>
      <c r="AB241" s="10">
        <v>0</v>
      </c>
      <c r="AC241" s="10">
        <v>0</v>
      </c>
      <c r="AD241" s="4"/>
      <c r="AE241" s="54">
        <v>1.237154006958008E-3</v>
      </c>
      <c r="AF241" s="54">
        <v>0.74827462434768677</v>
      </c>
    </row>
    <row r="242" spans="1:32" x14ac:dyDescent="0.2">
      <c r="A242" s="53" t="s">
        <v>2683</v>
      </c>
      <c r="B242" s="53" t="s">
        <v>2714</v>
      </c>
      <c r="C242" s="54" t="s">
        <v>2974</v>
      </c>
      <c r="D242" s="13" t="s">
        <v>1689</v>
      </c>
      <c r="E242" s="4" t="s">
        <v>1691</v>
      </c>
      <c r="F242" s="4" t="s">
        <v>1690</v>
      </c>
      <c r="G242" s="4" t="s">
        <v>38</v>
      </c>
      <c r="H242" s="4">
        <v>255</v>
      </c>
      <c r="I242" s="5">
        <f t="shared" si="18"/>
        <v>199.11779105750287</v>
      </c>
      <c r="J242" s="4">
        <v>3200</v>
      </c>
      <c r="K242" s="5">
        <f t="shared" si="19"/>
        <v>1727.5884538785169</v>
      </c>
      <c r="L242" s="5">
        <v>0</v>
      </c>
      <c r="M242" s="5">
        <v>0</v>
      </c>
      <c r="N242" s="4">
        <v>0</v>
      </c>
      <c r="O242" s="5">
        <f t="shared" si="20"/>
        <v>0</v>
      </c>
      <c r="P242" s="4">
        <v>0</v>
      </c>
      <c r="Q242" s="4">
        <v>0</v>
      </c>
      <c r="R242" s="4">
        <v>0</v>
      </c>
      <c r="S242" s="5">
        <f t="shared" si="21"/>
        <v>0</v>
      </c>
      <c r="T242" s="5">
        <f t="shared" si="22"/>
        <v>8.6762134347885063</v>
      </c>
      <c r="U242" s="5">
        <f t="shared" si="23"/>
        <v>0</v>
      </c>
      <c r="V242" s="4" t="s">
        <v>21</v>
      </c>
      <c r="W242" s="4" t="s">
        <v>21</v>
      </c>
      <c r="X242" s="4" t="s">
        <v>21</v>
      </c>
      <c r="Y242" s="4" t="s">
        <v>21</v>
      </c>
      <c r="Z242" s="10">
        <v>0</v>
      </c>
      <c r="AA242" s="10">
        <v>0</v>
      </c>
      <c r="AB242" s="10">
        <v>0</v>
      </c>
      <c r="AC242" s="10">
        <v>0</v>
      </c>
      <c r="AD242" s="4"/>
      <c r="AE242" s="54">
        <v>-4.4417381286621088E-4</v>
      </c>
      <c r="AF242" s="54">
        <v>-0.44984942674636841</v>
      </c>
    </row>
    <row r="243" spans="1:32" x14ac:dyDescent="0.2">
      <c r="A243" s="53" t="s">
        <v>2683</v>
      </c>
      <c r="B243" s="53" t="s">
        <v>2713</v>
      </c>
      <c r="C243" s="54" t="s">
        <v>2975</v>
      </c>
      <c r="D243" s="13" t="s">
        <v>1415</v>
      </c>
      <c r="E243" s="4" t="s">
        <v>1417</v>
      </c>
      <c r="F243" s="4" t="s">
        <v>1416</v>
      </c>
      <c r="G243" s="4" t="s">
        <v>38</v>
      </c>
      <c r="H243" s="4">
        <v>220</v>
      </c>
      <c r="I243" s="5">
        <f t="shared" si="18"/>
        <v>171.78789816725737</v>
      </c>
      <c r="J243" s="4">
        <v>2121</v>
      </c>
      <c r="K243" s="5">
        <f t="shared" si="19"/>
        <v>1145.0672220863546</v>
      </c>
      <c r="L243" s="5">
        <v>0</v>
      </c>
      <c r="M243" s="5">
        <v>0</v>
      </c>
      <c r="N243" s="4">
        <v>0</v>
      </c>
      <c r="O243" s="5">
        <f t="shared" si="20"/>
        <v>0</v>
      </c>
      <c r="P243" s="4">
        <v>0</v>
      </c>
      <c r="Q243" s="4">
        <v>0</v>
      </c>
      <c r="R243" s="4">
        <v>0</v>
      </c>
      <c r="S243" s="5">
        <f t="shared" si="21"/>
        <v>0</v>
      </c>
      <c r="T243" s="5">
        <f t="shared" si="22"/>
        <v>6.665587240443946</v>
      </c>
      <c r="U243" s="5">
        <f t="shared" si="23"/>
        <v>0</v>
      </c>
      <c r="V243" s="4" t="s">
        <v>21</v>
      </c>
      <c r="W243" s="4" t="s">
        <v>21</v>
      </c>
      <c r="X243" s="4" t="s">
        <v>21</v>
      </c>
      <c r="Y243" s="4" t="s">
        <v>21</v>
      </c>
      <c r="Z243" s="10">
        <v>0</v>
      </c>
      <c r="AA243" s="10">
        <v>0</v>
      </c>
      <c r="AB243" s="10">
        <v>0</v>
      </c>
      <c r="AC243" s="10">
        <v>0</v>
      </c>
      <c r="AD243" s="4"/>
      <c r="AE243" s="54">
        <v>9.0551376342773438E-4</v>
      </c>
      <c r="AF243" s="54">
        <v>0.65525186061859131</v>
      </c>
    </row>
    <row r="244" spans="1:32" x14ac:dyDescent="0.2">
      <c r="A244" s="53" t="s">
        <v>2683</v>
      </c>
      <c r="B244" s="53" t="s">
        <v>2772</v>
      </c>
      <c r="C244" s="54" t="s">
        <v>2976</v>
      </c>
      <c r="D244" s="13" t="s">
        <v>1421</v>
      </c>
      <c r="E244" s="4" t="s">
        <v>1423</v>
      </c>
      <c r="F244" s="4" t="s">
        <v>1422</v>
      </c>
      <c r="G244" s="4" t="s">
        <v>97</v>
      </c>
      <c r="H244" s="4">
        <v>1987</v>
      </c>
      <c r="I244" s="5">
        <f t="shared" si="18"/>
        <v>1551.5570620833657</v>
      </c>
      <c r="J244" s="4">
        <v>3761</v>
      </c>
      <c r="K244" s="5">
        <f t="shared" si="19"/>
        <v>2030.4563046990945</v>
      </c>
      <c r="L244" s="5">
        <v>0</v>
      </c>
      <c r="M244" s="5">
        <v>0</v>
      </c>
      <c r="N244" s="4">
        <v>0</v>
      </c>
      <c r="O244" s="5">
        <f t="shared" si="20"/>
        <v>0</v>
      </c>
      <c r="P244" s="4">
        <v>0</v>
      </c>
      <c r="Q244" s="4">
        <v>0</v>
      </c>
      <c r="R244" s="4">
        <v>0</v>
      </c>
      <c r="S244" s="5">
        <f t="shared" si="21"/>
        <v>0</v>
      </c>
      <c r="T244" s="5">
        <f t="shared" si="22"/>
        <v>1.3086571898120736</v>
      </c>
      <c r="U244" s="5">
        <f t="shared" si="23"/>
        <v>0</v>
      </c>
      <c r="V244" s="4" t="s">
        <v>21</v>
      </c>
      <c r="W244" s="4" t="s">
        <v>21</v>
      </c>
      <c r="X244" s="4" t="s">
        <v>21</v>
      </c>
      <c r="Y244" s="4" t="s">
        <v>21</v>
      </c>
      <c r="Z244" s="4">
        <v>0</v>
      </c>
      <c r="AA244" s="4">
        <v>0</v>
      </c>
      <c r="AB244" s="4">
        <v>0</v>
      </c>
      <c r="AC244" s="4">
        <v>0</v>
      </c>
      <c r="AD244" s="4"/>
      <c r="AE244" s="54">
        <v>1.5494823455810549E-3</v>
      </c>
      <c r="AF244" s="54">
        <v>0.81119948625564575</v>
      </c>
    </row>
    <row r="245" spans="1:32" x14ac:dyDescent="0.2">
      <c r="A245" s="53" t="s">
        <v>2683</v>
      </c>
      <c r="B245" s="53" t="s">
        <v>2771</v>
      </c>
      <c r="C245" s="54" t="s">
        <v>2977</v>
      </c>
      <c r="D245" s="13" t="s">
        <v>1676</v>
      </c>
      <c r="E245" s="4" t="s">
        <v>1678</v>
      </c>
      <c r="F245" s="4" t="s">
        <v>1677</v>
      </c>
      <c r="G245" s="4" t="s">
        <v>97</v>
      </c>
      <c r="H245" s="4">
        <v>1944</v>
      </c>
      <c r="I245" s="5">
        <f t="shared" si="18"/>
        <v>1517.9803365324926</v>
      </c>
      <c r="J245" s="4">
        <v>4165</v>
      </c>
      <c r="K245" s="5">
        <f t="shared" si="19"/>
        <v>2248.5643470012574</v>
      </c>
      <c r="L245" s="5">
        <v>0</v>
      </c>
      <c r="M245" s="5">
        <v>0</v>
      </c>
      <c r="N245" s="4">
        <v>0</v>
      </c>
      <c r="O245" s="5">
        <f t="shared" si="20"/>
        <v>0</v>
      </c>
      <c r="P245" s="4">
        <v>0</v>
      </c>
      <c r="Q245" s="4">
        <v>0</v>
      </c>
      <c r="R245" s="4">
        <v>0</v>
      </c>
      <c r="S245" s="5">
        <f t="shared" si="21"/>
        <v>0</v>
      </c>
      <c r="T245" s="5">
        <f t="shared" si="22"/>
        <v>1.4812868736742866</v>
      </c>
      <c r="U245" s="5">
        <f t="shared" si="23"/>
        <v>0</v>
      </c>
      <c r="V245" s="4">
        <v>-25</v>
      </c>
      <c r="W245" s="4">
        <v>2</v>
      </c>
      <c r="X245" s="4">
        <v>42</v>
      </c>
      <c r="Y245" s="4">
        <v>-15</v>
      </c>
      <c r="Z245" s="4">
        <v>0</v>
      </c>
      <c r="AA245" s="4">
        <v>0</v>
      </c>
      <c r="AB245" s="4">
        <v>0</v>
      </c>
      <c r="AC245" s="4">
        <v>0</v>
      </c>
      <c r="AD245" s="4"/>
      <c r="AE245" s="54">
        <v>-6.0820579528808594E-4</v>
      </c>
      <c r="AF245" s="54">
        <v>-0.53695803880691528</v>
      </c>
    </row>
    <row r="246" spans="1:32" x14ac:dyDescent="0.2">
      <c r="A246" s="53" t="s">
        <v>2683</v>
      </c>
      <c r="B246" s="53" t="s">
        <v>2770</v>
      </c>
      <c r="C246" s="54" t="s">
        <v>2978</v>
      </c>
      <c r="D246" s="13" t="s">
        <v>642</v>
      </c>
      <c r="E246" s="4" t="s">
        <v>644</v>
      </c>
      <c r="F246" s="4" t="s">
        <v>643</v>
      </c>
      <c r="G246" s="4" t="s">
        <v>97</v>
      </c>
      <c r="H246" s="4">
        <v>640</v>
      </c>
      <c r="I246" s="5">
        <f t="shared" si="18"/>
        <v>499.74661285020335</v>
      </c>
      <c r="J246" s="4">
        <v>407</v>
      </c>
      <c r="K246" s="5">
        <f t="shared" si="19"/>
        <v>219.72765647767389</v>
      </c>
      <c r="L246" s="5">
        <v>0</v>
      </c>
      <c r="M246" s="5">
        <v>0</v>
      </c>
      <c r="N246" s="4">
        <v>0</v>
      </c>
      <c r="O246" s="5">
        <f t="shared" si="20"/>
        <v>0</v>
      </c>
      <c r="P246" s="4">
        <v>0</v>
      </c>
      <c r="Q246" s="4">
        <v>0</v>
      </c>
      <c r="R246" s="4">
        <v>0</v>
      </c>
      <c r="S246" s="5">
        <f t="shared" si="21"/>
        <v>0</v>
      </c>
      <c r="T246" s="5">
        <f t="shared" si="22"/>
        <v>0.43967813053199462</v>
      </c>
      <c r="U246" s="5">
        <f t="shared" si="23"/>
        <v>0</v>
      </c>
      <c r="V246" s="4">
        <v>29</v>
      </c>
      <c r="W246" s="4">
        <v>-30</v>
      </c>
      <c r="X246" s="4">
        <v>2</v>
      </c>
      <c r="Y246" s="4">
        <v>42</v>
      </c>
      <c r="Z246" s="4">
        <v>0</v>
      </c>
      <c r="AA246" s="4">
        <v>0</v>
      </c>
      <c r="AB246" s="4">
        <v>0</v>
      </c>
      <c r="AC246" s="4">
        <v>0</v>
      </c>
      <c r="AD246" s="4"/>
      <c r="AE246" s="54">
        <v>1.1551380157470701E-3</v>
      </c>
      <c r="AF246" s="54">
        <v>0.72725653648376465</v>
      </c>
    </row>
    <row r="247" spans="1:32" x14ac:dyDescent="0.2">
      <c r="A247" s="53" t="s">
        <v>2683</v>
      </c>
      <c r="B247" s="53" t="s">
        <v>2769</v>
      </c>
      <c r="C247" s="54" t="s">
        <v>2979</v>
      </c>
      <c r="D247" s="13" t="s">
        <v>639</v>
      </c>
      <c r="E247" s="4" t="s">
        <v>641</v>
      </c>
      <c r="F247" s="4" t="s">
        <v>640</v>
      </c>
      <c r="G247" s="4" t="s">
        <v>46</v>
      </c>
      <c r="H247" s="4">
        <v>1072</v>
      </c>
      <c r="I247" s="5">
        <f t="shared" si="18"/>
        <v>837.07557652409059</v>
      </c>
      <c r="J247" s="4">
        <v>4125</v>
      </c>
      <c r="K247" s="5">
        <f t="shared" si="19"/>
        <v>2226.9694913277758</v>
      </c>
      <c r="L247" s="5">
        <v>0</v>
      </c>
      <c r="M247" s="5">
        <v>0</v>
      </c>
      <c r="N247" s="4">
        <v>0</v>
      </c>
      <c r="O247" s="5">
        <f t="shared" si="20"/>
        <v>0</v>
      </c>
      <c r="P247" s="4">
        <v>0</v>
      </c>
      <c r="Q247" s="4">
        <v>0</v>
      </c>
      <c r="R247" s="4">
        <v>0</v>
      </c>
      <c r="S247" s="5">
        <f t="shared" si="21"/>
        <v>0</v>
      </c>
      <c r="T247" s="5">
        <f t="shared" si="22"/>
        <v>2.6604162799434929</v>
      </c>
      <c r="U247" s="5">
        <f t="shared" si="23"/>
        <v>0</v>
      </c>
      <c r="V247" s="4">
        <v>2</v>
      </c>
      <c r="W247" s="4">
        <v>50</v>
      </c>
      <c r="X247" s="4">
        <v>-7</v>
      </c>
      <c r="Y247" s="4">
        <v>50</v>
      </c>
      <c r="Z247" s="4">
        <v>0</v>
      </c>
      <c r="AA247" s="4">
        <v>0</v>
      </c>
      <c r="AB247" s="4">
        <v>0</v>
      </c>
      <c r="AC247" s="4">
        <v>0</v>
      </c>
      <c r="AD247" s="4"/>
      <c r="AE247" s="54">
        <v>9.9873542785644531E-4</v>
      </c>
      <c r="AF247" s="54">
        <v>0.68693405389785767</v>
      </c>
    </row>
    <row r="248" spans="1:32" x14ac:dyDescent="0.2">
      <c r="A248" s="53" t="s">
        <v>2683</v>
      </c>
      <c r="B248" s="53" t="s">
        <v>2768</v>
      </c>
      <c r="C248" s="54" t="s">
        <v>2980</v>
      </c>
      <c r="D248" s="13" t="s">
        <v>632</v>
      </c>
      <c r="E248" s="4" t="s">
        <v>634</v>
      </c>
      <c r="F248" s="4" t="s">
        <v>633</v>
      </c>
      <c r="G248" s="4" t="s">
        <v>46</v>
      </c>
      <c r="H248" s="4">
        <v>3047</v>
      </c>
      <c r="I248" s="5">
        <f t="shared" si="18"/>
        <v>2379.2623896165151</v>
      </c>
      <c r="J248" s="4">
        <v>1688</v>
      </c>
      <c r="K248" s="5">
        <f t="shared" si="19"/>
        <v>911.30290942091767</v>
      </c>
      <c r="L248" s="5">
        <v>0</v>
      </c>
      <c r="M248" s="5">
        <v>0</v>
      </c>
      <c r="N248" s="4">
        <v>0</v>
      </c>
      <c r="O248" s="5">
        <f t="shared" si="20"/>
        <v>0</v>
      </c>
      <c r="P248" s="4">
        <v>0</v>
      </c>
      <c r="Q248" s="4">
        <v>0</v>
      </c>
      <c r="R248" s="4">
        <v>0</v>
      </c>
      <c r="S248" s="5">
        <f t="shared" si="21"/>
        <v>0</v>
      </c>
      <c r="T248" s="5">
        <f t="shared" si="22"/>
        <v>0.38301908751131891</v>
      </c>
      <c r="U248" s="5">
        <f t="shared" si="23"/>
        <v>0</v>
      </c>
      <c r="V248" s="4">
        <v>-30</v>
      </c>
      <c r="W248" s="4">
        <v>8</v>
      </c>
      <c r="X248" s="4">
        <v>1</v>
      </c>
      <c r="Y248" s="4">
        <v>8</v>
      </c>
      <c r="Z248" s="4">
        <v>0</v>
      </c>
      <c r="AA248" s="4">
        <v>0</v>
      </c>
      <c r="AB248" s="4">
        <v>0</v>
      </c>
      <c r="AC248" s="4">
        <v>0</v>
      </c>
      <c r="AD248" s="4"/>
      <c r="AE248" s="54">
        <v>-2.183914184570312E-4</v>
      </c>
      <c r="AF248" s="54">
        <v>-0.31222391128540039</v>
      </c>
    </row>
    <row r="249" spans="1:32" x14ac:dyDescent="0.2">
      <c r="A249" s="53" t="s">
        <v>2683</v>
      </c>
      <c r="B249" s="53" t="s">
        <v>2750</v>
      </c>
      <c r="C249" s="54" t="s">
        <v>2981</v>
      </c>
      <c r="D249" s="13" t="s">
        <v>212</v>
      </c>
      <c r="E249" s="4" t="s">
        <v>214</v>
      </c>
      <c r="F249" s="4" t="s">
        <v>213</v>
      </c>
      <c r="G249" s="4" t="s">
        <v>46</v>
      </c>
      <c r="H249" s="4">
        <v>1355</v>
      </c>
      <c r="I249" s="5">
        <f t="shared" si="18"/>
        <v>1058.0572818937899</v>
      </c>
      <c r="J249" s="4">
        <v>4536</v>
      </c>
      <c r="K249" s="5">
        <f t="shared" si="19"/>
        <v>2448.8566333727981</v>
      </c>
      <c r="L249" s="5">
        <v>0</v>
      </c>
      <c r="M249" s="5">
        <v>0</v>
      </c>
      <c r="N249" s="4">
        <v>0</v>
      </c>
      <c r="O249" s="5">
        <f t="shared" si="20"/>
        <v>0</v>
      </c>
      <c r="P249" s="4">
        <v>0</v>
      </c>
      <c r="Q249" s="4">
        <v>0</v>
      </c>
      <c r="R249" s="4">
        <v>0</v>
      </c>
      <c r="S249" s="5">
        <f t="shared" si="21"/>
        <v>0</v>
      </c>
      <c r="T249" s="5">
        <f t="shared" si="22"/>
        <v>2.3144839842599558</v>
      </c>
      <c r="U249" s="5">
        <f t="shared" si="23"/>
        <v>0</v>
      </c>
      <c r="V249" s="4">
        <v>4</v>
      </c>
      <c r="W249" s="4">
        <v>40</v>
      </c>
      <c r="X249" s="4">
        <v>-43</v>
      </c>
      <c r="Y249" s="4">
        <v>17</v>
      </c>
      <c r="Z249" s="4">
        <v>0</v>
      </c>
      <c r="AA249" s="4">
        <v>0.01</v>
      </c>
      <c r="AB249" s="4">
        <v>0</v>
      </c>
      <c r="AC249" s="4">
        <v>0</v>
      </c>
      <c r="AD249" s="4"/>
      <c r="AE249" s="54">
        <v>-1.6894340515136721E-3</v>
      </c>
      <c r="AF249" s="54">
        <v>-0.83002185821533203</v>
      </c>
    </row>
    <row r="250" spans="1:32" x14ac:dyDescent="0.2">
      <c r="A250" s="53" t="s">
        <v>2683</v>
      </c>
      <c r="B250" s="53" t="s">
        <v>2752</v>
      </c>
      <c r="C250" s="54" t="s">
        <v>2983</v>
      </c>
      <c r="D250" s="13" t="s">
        <v>1692</v>
      </c>
      <c r="E250" s="4" t="s">
        <v>1694</v>
      </c>
      <c r="F250" s="4" t="s">
        <v>1693</v>
      </c>
      <c r="G250" s="4" t="s">
        <v>46</v>
      </c>
      <c r="H250" s="4">
        <v>938</v>
      </c>
      <c r="I250" s="5">
        <f t="shared" si="18"/>
        <v>732.44112945857921</v>
      </c>
      <c r="J250" s="4">
        <v>867</v>
      </c>
      <c r="K250" s="5">
        <f t="shared" si="19"/>
        <v>468.06849672271073</v>
      </c>
      <c r="L250" s="5">
        <v>0</v>
      </c>
      <c r="M250" s="5">
        <v>0</v>
      </c>
      <c r="N250" s="4">
        <v>0</v>
      </c>
      <c r="O250" s="5">
        <f t="shared" si="20"/>
        <v>0</v>
      </c>
      <c r="P250" s="4">
        <v>0</v>
      </c>
      <c r="Q250" s="4">
        <v>0</v>
      </c>
      <c r="R250" s="4">
        <v>0</v>
      </c>
      <c r="S250" s="5">
        <f t="shared" si="21"/>
        <v>0</v>
      </c>
      <c r="T250" s="5">
        <f t="shared" si="22"/>
        <v>0.6390527209588942</v>
      </c>
      <c r="U250" s="5">
        <f t="shared" si="23"/>
        <v>0</v>
      </c>
      <c r="V250" s="4">
        <v>-21</v>
      </c>
      <c r="W250" s="4">
        <v>9</v>
      </c>
      <c r="X250" s="4">
        <v>-22</v>
      </c>
      <c r="Y250" s="4">
        <v>-21</v>
      </c>
      <c r="Z250" s="4">
        <v>0</v>
      </c>
      <c r="AA250" s="4">
        <v>0</v>
      </c>
      <c r="AB250" s="4">
        <v>0</v>
      </c>
      <c r="AC250" s="4">
        <v>0</v>
      </c>
      <c r="AD250" s="4"/>
      <c r="AE250" s="54">
        <v>5.30242919921875E-4</v>
      </c>
      <c r="AF250" s="54">
        <v>0.50330859422683716</v>
      </c>
    </row>
    <row r="251" spans="1:32" x14ac:dyDescent="0.2">
      <c r="A251" s="53" t="s">
        <v>2671</v>
      </c>
      <c r="B251" s="53" t="s">
        <v>2670</v>
      </c>
      <c r="C251" s="54" t="s">
        <v>2985</v>
      </c>
      <c r="D251" s="13" t="s">
        <v>1534</v>
      </c>
      <c r="E251" s="4" t="s">
        <v>1536</v>
      </c>
      <c r="F251" s="4" t="s">
        <v>1535</v>
      </c>
      <c r="G251" s="4" t="s">
        <v>17</v>
      </c>
      <c r="H251" s="4">
        <v>768</v>
      </c>
      <c r="I251" s="5">
        <f t="shared" si="18"/>
        <v>599.69593542024404</v>
      </c>
      <c r="J251" s="4">
        <v>2237</v>
      </c>
      <c r="K251" s="5">
        <f t="shared" si="19"/>
        <v>1207.6923035394507</v>
      </c>
      <c r="L251" s="5">
        <v>0</v>
      </c>
      <c r="M251" s="5">
        <v>0</v>
      </c>
      <c r="N251" s="4">
        <v>0</v>
      </c>
      <c r="O251" s="5">
        <f t="shared" si="20"/>
        <v>0</v>
      </c>
      <c r="P251" s="4">
        <v>0</v>
      </c>
      <c r="Q251" s="4">
        <v>0</v>
      </c>
      <c r="R251" s="4">
        <v>0</v>
      </c>
      <c r="S251" s="5">
        <f t="shared" si="21"/>
        <v>0</v>
      </c>
      <c r="T251" s="5">
        <f t="shared" si="22"/>
        <v>2.0138410687962156</v>
      </c>
      <c r="U251" s="5">
        <f t="shared" si="23"/>
        <v>0</v>
      </c>
      <c r="V251" s="4">
        <v>-25</v>
      </c>
      <c r="W251" s="4">
        <v>-36</v>
      </c>
      <c r="X251" s="4">
        <v>-11</v>
      </c>
      <c r="Y251" s="4">
        <v>-36</v>
      </c>
      <c r="Z251" s="10">
        <v>0</v>
      </c>
      <c r="AA251" s="10">
        <v>0</v>
      </c>
      <c r="AB251" s="10">
        <v>0</v>
      </c>
      <c r="AC251" s="10">
        <v>0</v>
      </c>
      <c r="AD251" s="4"/>
      <c r="AE251" s="54">
        <v>-3.5113096237182623E-4</v>
      </c>
      <c r="AF251" s="54">
        <v>-0.4590030312538147</v>
      </c>
    </row>
    <row r="252" spans="1:32" x14ac:dyDescent="0.2">
      <c r="A252" s="53" t="s">
        <v>2669</v>
      </c>
      <c r="B252" s="53" t="s">
        <v>2668</v>
      </c>
      <c r="C252" s="54" t="s">
        <v>2987</v>
      </c>
      <c r="D252" s="13" t="s">
        <v>1530</v>
      </c>
      <c r="E252" s="4" t="s">
        <v>1532</v>
      </c>
      <c r="F252" s="4" t="s">
        <v>1531</v>
      </c>
      <c r="G252" s="4" t="s">
        <v>249</v>
      </c>
      <c r="H252" s="4">
        <v>554</v>
      </c>
      <c r="I252" s="5">
        <f t="shared" si="18"/>
        <v>432.59316174845725</v>
      </c>
      <c r="J252" s="4">
        <v>585</v>
      </c>
      <c r="K252" s="5">
        <f t="shared" si="19"/>
        <v>315.82476422466641</v>
      </c>
      <c r="L252" s="5">
        <v>0</v>
      </c>
      <c r="M252" s="5">
        <v>0</v>
      </c>
      <c r="N252" s="4">
        <v>0</v>
      </c>
      <c r="O252" s="5">
        <f t="shared" si="20"/>
        <v>0</v>
      </c>
      <c r="P252" s="4">
        <v>0</v>
      </c>
      <c r="Q252" s="4">
        <v>0</v>
      </c>
      <c r="R252" s="4">
        <v>0</v>
      </c>
      <c r="S252" s="5">
        <f t="shared" si="21"/>
        <v>0</v>
      </c>
      <c r="T252" s="5">
        <f t="shared" si="22"/>
        <v>0.73007340880786065</v>
      </c>
      <c r="U252" s="5">
        <f t="shared" si="23"/>
        <v>0</v>
      </c>
      <c r="V252" s="4" t="s">
        <v>21</v>
      </c>
      <c r="W252" s="4" t="s">
        <v>21</v>
      </c>
      <c r="X252" s="4" t="s">
        <v>21</v>
      </c>
      <c r="Y252" s="4" t="s">
        <v>21</v>
      </c>
      <c r="Z252" s="10">
        <v>0</v>
      </c>
      <c r="AA252" s="10">
        <v>0</v>
      </c>
      <c r="AB252" s="10">
        <v>0</v>
      </c>
      <c r="AC252" s="10">
        <v>0</v>
      </c>
      <c r="AD252" s="4"/>
      <c r="AE252" s="54">
        <v>7.3087215423583984E-4</v>
      </c>
      <c r="AF252" s="54">
        <v>0.62811887264251709</v>
      </c>
    </row>
    <row r="253" spans="1:32" x14ac:dyDescent="0.2">
      <c r="A253" s="53" t="s">
        <v>2097</v>
      </c>
      <c r="B253" s="53" t="s">
        <v>2123</v>
      </c>
      <c r="C253" s="54" t="s">
        <v>2988</v>
      </c>
      <c r="D253" s="13" t="s">
        <v>1713</v>
      </c>
      <c r="E253" s="4" t="s">
        <v>1715</v>
      </c>
      <c r="F253" s="4" t="s">
        <v>1714</v>
      </c>
      <c r="G253" s="4" t="s">
        <v>107</v>
      </c>
      <c r="H253" s="4">
        <v>558</v>
      </c>
      <c r="I253" s="5">
        <f t="shared" si="18"/>
        <v>435.71657807877102</v>
      </c>
      <c r="J253" s="4">
        <v>1059</v>
      </c>
      <c r="K253" s="5">
        <f t="shared" si="19"/>
        <v>571.72380395542177</v>
      </c>
      <c r="L253" s="5">
        <v>0</v>
      </c>
      <c r="M253" s="5">
        <v>0</v>
      </c>
      <c r="N253" s="4">
        <v>0</v>
      </c>
      <c r="O253" s="5">
        <f t="shared" si="20"/>
        <v>0</v>
      </c>
      <c r="P253" s="4">
        <v>0</v>
      </c>
      <c r="Q253" s="4">
        <v>0</v>
      </c>
      <c r="R253" s="4">
        <v>0</v>
      </c>
      <c r="S253" s="5">
        <f t="shared" si="21"/>
        <v>0</v>
      </c>
      <c r="T253" s="5">
        <f t="shared" si="22"/>
        <v>1.3121460892682919</v>
      </c>
      <c r="U253" s="5">
        <f t="shared" si="23"/>
        <v>0</v>
      </c>
      <c r="V253" s="4">
        <v>-275</v>
      </c>
      <c r="W253" s="4" t="s">
        <v>21</v>
      </c>
      <c r="X253" s="4">
        <v>-356</v>
      </c>
      <c r="Y253" s="4" t="s">
        <v>21</v>
      </c>
      <c r="Z253" s="4">
        <v>0</v>
      </c>
      <c r="AA253" s="4">
        <v>0</v>
      </c>
      <c r="AB253" s="4">
        <v>0</v>
      </c>
      <c r="AC253" s="4">
        <v>0</v>
      </c>
      <c r="AD253" s="4"/>
      <c r="AE253" s="54">
        <v>-4.1684746742248542E-2</v>
      </c>
      <c r="AF253" s="54">
        <v>-0.99976927042007446</v>
      </c>
    </row>
    <row r="254" spans="1:32" x14ac:dyDescent="0.2">
      <c r="A254" s="53" t="s">
        <v>2097</v>
      </c>
      <c r="B254" s="53" t="s">
        <v>2118</v>
      </c>
      <c r="C254" s="54" t="s">
        <v>2990</v>
      </c>
      <c r="D254" s="13" t="s">
        <v>1595</v>
      </c>
      <c r="E254" s="4" t="s">
        <v>1597</v>
      </c>
      <c r="F254" s="4" t="s">
        <v>1596</v>
      </c>
      <c r="G254" s="17" t="s">
        <v>90</v>
      </c>
      <c r="H254" s="4">
        <v>2462</v>
      </c>
      <c r="I254" s="5">
        <f t="shared" si="18"/>
        <v>1922.4627513081257</v>
      </c>
      <c r="J254" s="4">
        <v>1929</v>
      </c>
      <c r="K254" s="5">
        <f t="shared" si="19"/>
        <v>1041.4119148536436</v>
      </c>
      <c r="L254" s="5">
        <v>0</v>
      </c>
      <c r="M254" s="5">
        <v>0</v>
      </c>
      <c r="N254" s="4">
        <v>0</v>
      </c>
      <c r="O254" s="5">
        <f t="shared" si="20"/>
        <v>0</v>
      </c>
      <c r="P254" s="4">
        <v>0</v>
      </c>
      <c r="Q254" s="4">
        <v>0</v>
      </c>
      <c r="R254" s="4">
        <v>0</v>
      </c>
      <c r="S254" s="5">
        <f t="shared" si="21"/>
        <v>0</v>
      </c>
      <c r="T254" s="5">
        <f t="shared" si="22"/>
        <v>0.54170720038399833</v>
      </c>
      <c r="U254" s="5">
        <f t="shared" si="23"/>
        <v>0</v>
      </c>
      <c r="V254" s="4">
        <v>39</v>
      </c>
      <c r="W254" s="4">
        <v>45</v>
      </c>
      <c r="X254" s="4">
        <v>2</v>
      </c>
      <c r="Y254" s="4">
        <v>-35</v>
      </c>
      <c r="Z254" s="4">
        <v>0</v>
      </c>
      <c r="AA254" s="4">
        <v>0</v>
      </c>
      <c r="AB254" s="4">
        <v>0</v>
      </c>
      <c r="AC254" s="4">
        <v>0</v>
      </c>
      <c r="AD254" s="4"/>
      <c r="AE254" s="54">
        <v>-3.9699077606201172E-3</v>
      </c>
      <c r="AF254" s="54">
        <v>-0.9736054539680481</v>
      </c>
    </row>
    <row r="255" spans="1:32" x14ac:dyDescent="0.2">
      <c r="A255" s="53" t="s">
        <v>2097</v>
      </c>
      <c r="B255" s="53" t="s">
        <v>2117</v>
      </c>
      <c r="C255" s="54" t="s">
        <v>2991</v>
      </c>
      <c r="D255" s="13" t="s">
        <v>119</v>
      </c>
      <c r="E255" s="4" t="s">
        <v>121</v>
      </c>
      <c r="F255" s="4" t="s">
        <v>120</v>
      </c>
      <c r="G255" s="12" t="s">
        <v>22</v>
      </c>
      <c r="H255" s="4">
        <v>174</v>
      </c>
      <c r="I255" s="5">
        <f t="shared" si="18"/>
        <v>135.86861036864903</v>
      </c>
      <c r="J255" s="4">
        <v>4428</v>
      </c>
      <c r="K255" s="5">
        <f t="shared" si="19"/>
        <v>2390.5505230543981</v>
      </c>
      <c r="L255" s="5">
        <v>0</v>
      </c>
      <c r="M255" s="5">
        <v>0</v>
      </c>
      <c r="N255" s="4">
        <v>0</v>
      </c>
      <c r="O255" s="5">
        <f t="shared" si="20"/>
        <v>0</v>
      </c>
      <c r="P255" s="4">
        <v>0</v>
      </c>
      <c r="Q255" s="4">
        <v>0</v>
      </c>
      <c r="R255" s="4">
        <v>0</v>
      </c>
      <c r="S255" s="5">
        <f t="shared" si="21"/>
        <v>0</v>
      </c>
      <c r="T255" s="5">
        <f t="shared" si="22"/>
        <v>17.594575498845355</v>
      </c>
      <c r="U255" s="5">
        <f t="shared" si="23"/>
        <v>0</v>
      </c>
      <c r="V255" s="4">
        <v>25</v>
      </c>
      <c r="W255" s="4">
        <v>45</v>
      </c>
      <c r="X255" s="4">
        <v>6</v>
      </c>
      <c r="Y255" s="4">
        <v>-42</v>
      </c>
      <c r="Z255" s="4">
        <v>0.1</v>
      </c>
      <c r="AA255" s="4">
        <v>0</v>
      </c>
      <c r="AB255" s="4">
        <v>0</v>
      </c>
      <c r="AC255" s="4">
        <v>0</v>
      </c>
      <c r="AD255" s="4"/>
      <c r="AE255" s="54">
        <v>1.211881637573242E-3</v>
      </c>
      <c r="AF255" s="54">
        <v>0.74315381050109863</v>
      </c>
    </row>
    <row r="256" spans="1:32" x14ac:dyDescent="0.2">
      <c r="A256" s="53" t="s">
        <v>2097</v>
      </c>
      <c r="B256" s="53" t="s">
        <v>2116</v>
      </c>
      <c r="C256" s="54" t="s">
        <v>2992</v>
      </c>
      <c r="D256" s="13" t="s">
        <v>1881</v>
      </c>
      <c r="E256" s="4" t="s">
        <v>1883</v>
      </c>
      <c r="F256" s="4" t="s">
        <v>1882</v>
      </c>
      <c r="G256" s="4" t="s">
        <v>27</v>
      </c>
      <c r="H256" s="4">
        <v>460</v>
      </c>
      <c r="I256" s="5">
        <f t="shared" si="18"/>
        <v>359.1928779860836</v>
      </c>
      <c r="J256" s="4">
        <v>2415</v>
      </c>
      <c r="K256" s="5">
        <f t="shared" si="19"/>
        <v>1303.7894112864433</v>
      </c>
      <c r="L256" s="5">
        <v>0</v>
      </c>
      <c r="M256" s="5">
        <v>0</v>
      </c>
      <c r="N256" s="4">
        <v>0</v>
      </c>
      <c r="O256" s="5">
        <f t="shared" si="20"/>
        <v>0</v>
      </c>
      <c r="P256" s="4">
        <v>0</v>
      </c>
      <c r="Q256" s="4">
        <v>0</v>
      </c>
      <c r="R256" s="4">
        <v>0</v>
      </c>
      <c r="S256" s="5">
        <f t="shared" si="21"/>
        <v>0</v>
      </c>
      <c r="T256" s="5">
        <f t="shared" si="22"/>
        <v>3.6297752299447228</v>
      </c>
      <c r="U256" s="5">
        <f t="shared" si="23"/>
        <v>0</v>
      </c>
      <c r="V256" s="4">
        <v>8</v>
      </c>
      <c r="W256" s="4">
        <v>6</v>
      </c>
      <c r="X256" s="4">
        <v>-42</v>
      </c>
      <c r="Y256" s="4">
        <v>6</v>
      </c>
      <c r="Z256" s="4">
        <v>0</v>
      </c>
      <c r="AA256" s="4">
        <v>0</v>
      </c>
      <c r="AB256" s="4">
        <v>0</v>
      </c>
      <c r="AC256" s="4">
        <v>0</v>
      </c>
      <c r="AD256" s="4"/>
      <c r="AE256" s="54">
        <v>-5.446314811706543E-3</v>
      </c>
      <c r="AF256" s="54">
        <v>-0.9901309609413147</v>
      </c>
    </row>
    <row r="257" spans="1:32" x14ac:dyDescent="0.2">
      <c r="A257" s="53" t="s">
        <v>2097</v>
      </c>
      <c r="B257" s="53" t="s">
        <v>2115</v>
      </c>
      <c r="C257" s="54" t="s">
        <v>2993</v>
      </c>
      <c r="D257" s="13" t="s">
        <v>575</v>
      </c>
      <c r="E257" s="4" t="s">
        <v>577</v>
      </c>
      <c r="F257" s="4" t="s">
        <v>576</v>
      </c>
      <c r="G257" s="4" t="s">
        <v>81</v>
      </c>
      <c r="H257" s="4">
        <v>609</v>
      </c>
      <c r="I257" s="5">
        <f t="shared" si="18"/>
        <v>475.54013629027162</v>
      </c>
      <c r="J257" s="4">
        <v>1522</v>
      </c>
      <c r="K257" s="5">
        <f t="shared" si="19"/>
        <v>821.68425837596965</v>
      </c>
      <c r="L257" s="5">
        <v>0</v>
      </c>
      <c r="M257" s="5">
        <v>0</v>
      </c>
      <c r="N257" s="4">
        <v>0</v>
      </c>
      <c r="O257" s="5">
        <f t="shared" si="20"/>
        <v>0</v>
      </c>
      <c r="P257" s="4">
        <v>0</v>
      </c>
      <c r="Q257" s="4">
        <v>0</v>
      </c>
      <c r="R257" s="4">
        <v>0</v>
      </c>
      <c r="S257" s="5">
        <f t="shared" si="21"/>
        <v>0</v>
      </c>
      <c r="T257" s="5">
        <f t="shared" si="22"/>
        <v>1.7278967550163007</v>
      </c>
      <c r="U257" s="5">
        <f t="shared" si="23"/>
        <v>0</v>
      </c>
      <c r="V257" s="4">
        <v>-16</v>
      </c>
      <c r="W257" s="4">
        <v>-32</v>
      </c>
      <c r="X257" s="4">
        <v>5</v>
      </c>
      <c r="Y257" s="4">
        <v>-32</v>
      </c>
      <c r="Z257" s="4">
        <v>0</v>
      </c>
      <c r="AA257" s="4">
        <v>0</v>
      </c>
      <c r="AB257" s="4">
        <v>0</v>
      </c>
      <c r="AC257" s="4">
        <v>0</v>
      </c>
      <c r="AD257" s="4"/>
      <c r="AE257" s="54">
        <v>-3.8087368011474609E-4</v>
      </c>
      <c r="AF257" s="54">
        <v>-0.41229036450386047</v>
      </c>
    </row>
    <row r="258" spans="1:32" x14ac:dyDescent="0.2">
      <c r="A258" s="53" t="s">
        <v>2097</v>
      </c>
      <c r="B258" s="53" t="s">
        <v>2114</v>
      </c>
      <c r="C258" s="54" t="s">
        <v>2994</v>
      </c>
      <c r="D258" s="13" t="s">
        <v>1589</v>
      </c>
      <c r="E258" s="4" t="s">
        <v>1591</v>
      </c>
      <c r="F258" s="4" t="s">
        <v>1590</v>
      </c>
      <c r="G258" s="4" t="s">
        <v>77</v>
      </c>
      <c r="H258" s="4">
        <v>371</v>
      </c>
      <c r="I258" s="5">
        <f t="shared" ref="I258:I321" si="24">H258/H$677*1000000</f>
        <v>289.69686463660219</v>
      </c>
      <c r="J258" s="4">
        <v>4912</v>
      </c>
      <c r="K258" s="5">
        <f t="shared" ref="K258:K321" si="25">J258/J$677*1000000</f>
        <v>2651.8482767035239</v>
      </c>
      <c r="L258" s="5">
        <v>0</v>
      </c>
      <c r="M258" s="5">
        <v>0</v>
      </c>
      <c r="N258" s="4">
        <v>0</v>
      </c>
      <c r="O258" s="5">
        <f t="shared" ref="O258:O321" si="26">AVERAGE(L258:N258)</f>
        <v>0</v>
      </c>
      <c r="P258" s="4">
        <v>0</v>
      </c>
      <c r="Q258" s="4">
        <v>0</v>
      </c>
      <c r="R258" s="4">
        <v>0</v>
      </c>
      <c r="S258" s="5">
        <f t="shared" ref="S258:S321" si="27">AVERAGE(P258:R258)</f>
        <v>0</v>
      </c>
      <c r="T258" s="5">
        <f t="shared" ref="T258:T321" si="28">K258/I258</f>
        <v>9.1538728941026726</v>
      </c>
      <c r="U258" s="5">
        <f t="shared" ref="U258:U321" si="29">S258/((O258+1)*T258)</f>
        <v>0</v>
      </c>
      <c r="V258" s="4">
        <v>39</v>
      </c>
      <c r="W258" s="4">
        <v>-42</v>
      </c>
      <c r="X258" s="4">
        <v>-44</v>
      </c>
      <c r="Y258" s="4">
        <v>39</v>
      </c>
      <c r="Z258" s="4">
        <v>0</v>
      </c>
      <c r="AA258" s="4">
        <v>0</v>
      </c>
      <c r="AB258" s="4">
        <v>0</v>
      </c>
      <c r="AC258" s="4">
        <v>0</v>
      </c>
      <c r="AD258" s="4"/>
      <c r="AE258" s="54">
        <v>-1.968145370483398E-3</v>
      </c>
      <c r="AF258" s="54">
        <v>-0.86556082963943481</v>
      </c>
    </row>
    <row r="259" spans="1:32" x14ac:dyDescent="0.2">
      <c r="A259" s="53" t="s">
        <v>2097</v>
      </c>
      <c r="B259" s="53" t="s">
        <v>2113</v>
      </c>
      <c r="C259" s="54" t="s">
        <v>2995</v>
      </c>
      <c r="D259" s="13" t="s">
        <v>169</v>
      </c>
      <c r="E259" s="4" t="s">
        <v>171</v>
      </c>
      <c r="F259" s="4" t="s">
        <v>170</v>
      </c>
      <c r="G259" s="4" t="s">
        <v>46</v>
      </c>
      <c r="H259" s="4">
        <v>385</v>
      </c>
      <c r="I259" s="5">
        <f t="shared" si="24"/>
        <v>300.62882179270042</v>
      </c>
      <c r="J259" s="4">
        <v>1975</v>
      </c>
      <c r="K259" s="5">
        <f t="shared" si="25"/>
        <v>1066.2459988781472</v>
      </c>
      <c r="L259" s="5">
        <v>0</v>
      </c>
      <c r="M259" s="5">
        <v>0</v>
      </c>
      <c r="N259" s="4">
        <v>0</v>
      </c>
      <c r="O259" s="5">
        <f t="shared" si="26"/>
        <v>0</v>
      </c>
      <c r="P259" s="4">
        <v>0</v>
      </c>
      <c r="Q259" s="4">
        <v>0</v>
      </c>
      <c r="R259" s="4">
        <v>0</v>
      </c>
      <c r="S259" s="5">
        <f t="shared" si="27"/>
        <v>0</v>
      </c>
      <c r="T259" s="5">
        <f t="shared" si="28"/>
        <v>3.5467191486163645</v>
      </c>
      <c r="U259" s="5">
        <f t="shared" si="29"/>
        <v>0</v>
      </c>
      <c r="V259" s="4">
        <v>48</v>
      </c>
      <c r="W259" s="4">
        <v>-1</v>
      </c>
      <c r="X259" s="4">
        <v>48</v>
      </c>
      <c r="Y259" s="4">
        <v>0</v>
      </c>
      <c r="Z259" s="4">
        <v>0.01</v>
      </c>
      <c r="AA259" s="4">
        <v>0</v>
      </c>
      <c r="AB259" s="4">
        <v>0</v>
      </c>
      <c r="AC259" s="4">
        <v>0</v>
      </c>
      <c r="AD259" s="4"/>
      <c r="AE259" s="54">
        <v>7.343292236328125E-4</v>
      </c>
      <c r="AF259" s="54">
        <v>0.59192442893981934</v>
      </c>
    </row>
    <row r="260" spans="1:32" x14ac:dyDescent="0.2">
      <c r="A260" s="53" t="s">
        <v>2097</v>
      </c>
      <c r="B260" s="53" t="s">
        <v>2110</v>
      </c>
      <c r="C260" s="54" t="s">
        <v>2997</v>
      </c>
      <c r="D260" s="13" t="s">
        <v>1562</v>
      </c>
      <c r="E260" s="4" t="s">
        <v>1564</v>
      </c>
      <c r="F260" s="4" t="s">
        <v>1563</v>
      </c>
      <c r="G260" s="12" t="s">
        <v>22</v>
      </c>
      <c r="H260" s="4">
        <v>2156</v>
      </c>
      <c r="I260" s="5">
        <f t="shared" si="24"/>
        <v>1683.5214020391224</v>
      </c>
      <c r="J260" s="4">
        <v>4167</v>
      </c>
      <c r="K260" s="5">
        <f t="shared" si="25"/>
        <v>2249.6440897849316</v>
      </c>
      <c r="L260" s="5">
        <v>0</v>
      </c>
      <c r="M260" s="5">
        <v>0</v>
      </c>
      <c r="N260" s="4">
        <v>0</v>
      </c>
      <c r="O260" s="5">
        <f t="shared" si="26"/>
        <v>0</v>
      </c>
      <c r="P260" s="4">
        <v>0</v>
      </c>
      <c r="Q260" s="4">
        <v>0</v>
      </c>
      <c r="R260" s="4">
        <v>0</v>
      </c>
      <c r="S260" s="5">
        <f t="shared" si="27"/>
        <v>0</v>
      </c>
      <c r="T260" s="5">
        <f t="shared" si="28"/>
        <v>1.3362729378195652</v>
      </c>
      <c r="U260" s="5">
        <f t="shared" si="29"/>
        <v>0</v>
      </c>
      <c r="V260" s="4">
        <v>-6</v>
      </c>
      <c r="W260" s="4">
        <v>45</v>
      </c>
      <c r="X260" s="4">
        <v>-6</v>
      </c>
      <c r="Y260" s="4">
        <v>7</v>
      </c>
      <c r="Z260" s="4">
        <v>0</v>
      </c>
      <c r="AA260" s="4">
        <v>0</v>
      </c>
      <c r="AB260" s="4">
        <v>0</v>
      </c>
      <c r="AC260" s="4">
        <v>0</v>
      </c>
      <c r="AD260" s="4"/>
      <c r="AE260" s="54">
        <v>2.0744800567626949E-3</v>
      </c>
      <c r="AF260" s="54">
        <v>0.88191461563110352</v>
      </c>
    </row>
    <row r="261" spans="1:32" x14ac:dyDescent="0.2">
      <c r="A261" s="53" t="s">
        <v>2097</v>
      </c>
      <c r="B261" s="53" t="s">
        <v>2108</v>
      </c>
      <c r="C261" s="54" t="s">
        <v>2999</v>
      </c>
      <c r="D261" s="13" t="s">
        <v>146</v>
      </c>
      <c r="E261" s="4" t="s">
        <v>148</v>
      </c>
      <c r="F261" s="4" t="s">
        <v>147</v>
      </c>
      <c r="G261" s="4" t="s">
        <v>17</v>
      </c>
      <c r="H261" s="4">
        <v>2546</v>
      </c>
      <c r="I261" s="5">
        <f t="shared" si="24"/>
        <v>1988.054494244715</v>
      </c>
      <c r="J261" s="4">
        <v>4279</v>
      </c>
      <c r="K261" s="5">
        <f t="shared" si="25"/>
        <v>2310.1096856706795</v>
      </c>
      <c r="L261" s="5">
        <v>0</v>
      </c>
      <c r="M261" s="5">
        <v>0</v>
      </c>
      <c r="N261" s="4">
        <v>0</v>
      </c>
      <c r="O261" s="5">
        <f t="shared" si="26"/>
        <v>0</v>
      </c>
      <c r="P261" s="4">
        <v>0</v>
      </c>
      <c r="Q261" s="4">
        <v>0</v>
      </c>
      <c r="R261" s="4">
        <v>0</v>
      </c>
      <c r="S261" s="5">
        <f t="shared" si="27"/>
        <v>0</v>
      </c>
      <c r="T261" s="5">
        <f t="shared" si="28"/>
        <v>1.1619951527276002</v>
      </c>
      <c r="U261" s="5">
        <f t="shared" si="29"/>
        <v>0</v>
      </c>
      <c r="V261" s="4">
        <v>13</v>
      </c>
      <c r="W261" s="4">
        <v>2</v>
      </c>
      <c r="X261" s="4">
        <v>13</v>
      </c>
      <c r="Y261" s="4">
        <v>-9</v>
      </c>
      <c r="Z261" s="4">
        <v>0.01</v>
      </c>
      <c r="AA261" s="4">
        <v>0</v>
      </c>
      <c r="AB261" s="4">
        <v>0</v>
      </c>
      <c r="AC261" s="4">
        <v>0</v>
      </c>
      <c r="AD261" s="4"/>
      <c r="AE261" s="54">
        <v>-7.8999996185302734E-3</v>
      </c>
      <c r="AF261" s="54">
        <v>-0.99687576293945312</v>
      </c>
    </row>
    <row r="262" spans="1:32" x14ac:dyDescent="0.2">
      <c r="A262" s="53" t="s">
        <v>2097</v>
      </c>
      <c r="B262" s="53" t="s">
        <v>2107</v>
      </c>
      <c r="C262" s="54" t="s">
        <v>3000</v>
      </c>
      <c r="D262" s="13" t="s">
        <v>1878</v>
      </c>
      <c r="E262" s="4" t="s">
        <v>1880</v>
      </c>
      <c r="F262" s="4" t="s">
        <v>1879</v>
      </c>
      <c r="G262" s="4" t="s">
        <v>54</v>
      </c>
      <c r="H262" s="4">
        <v>2689</v>
      </c>
      <c r="I262" s="5">
        <f t="shared" si="24"/>
        <v>2099.7166280534325</v>
      </c>
      <c r="J262" s="4">
        <v>2231</v>
      </c>
      <c r="K262" s="5">
        <f t="shared" si="25"/>
        <v>1204.4530751884288</v>
      </c>
      <c r="L262" s="5">
        <v>0</v>
      </c>
      <c r="M262" s="5">
        <v>0</v>
      </c>
      <c r="N262" s="4">
        <v>0</v>
      </c>
      <c r="O262" s="5">
        <f t="shared" si="26"/>
        <v>0</v>
      </c>
      <c r="P262" s="4">
        <v>0</v>
      </c>
      <c r="Q262" s="4">
        <v>0</v>
      </c>
      <c r="R262" s="4">
        <v>0</v>
      </c>
      <c r="S262" s="5">
        <f t="shared" si="27"/>
        <v>0</v>
      </c>
      <c r="T262" s="5">
        <f t="shared" si="28"/>
        <v>0.57362648802044847</v>
      </c>
      <c r="U262" s="5">
        <f t="shared" si="29"/>
        <v>0</v>
      </c>
      <c r="V262" s="4">
        <v>17</v>
      </c>
      <c r="W262" s="4">
        <v>2</v>
      </c>
      <c r="X262" s="4">
        <v>31</v>
      </c>
      <c r="Y262" s="4">
        <v>1</v>
      </c>
      <c r="Z262" s="4">
        <v>0</v>
      </c>
      <c r="AA262" s="4">
        <v>0</v>
      </c>
      <c r="AB262" s="4">
        <v>0</v>
      </c>
      <c r="AC262" s="4">
        <v>0</v>
      </c>
      <c r="AD262" s="4"/>
      <c r="AE262" s="54">
        <v>1.345276832580566E-3</v>
      </c>
      <c r="AF262" s="54">
        <v>0.77258259057998657</v>
      </c>
    </row>
    <row r="263" spans="1:32" x14ac:dyDescent="0.2">
      <c r="A263" s="53" t="s">
        <v>2097</v>
      </c>
      <c r="B263" s="53" t="s">
        <v>2106</v>
      </c>
      <c r="C263" s="54" t="s">
        <v>3001</v>
      </c>
      <c r="D263" s="13" t="s">
        <v>1586</v>
      </c>
      <c r="E263" s="4" t="s">
        <v>1588</v>
      </c>
      <c r="F263" s="4" t="s">
        <v>1587</v>
      </c>
      <c r="G263" s="4" t="s">
        <v>50</v>
      </c>
      <c r="H263" s="4">
        <v>275</v>
      </c>
      <c r="I263" s="5">
        <f t="shared" si="24"/>
        <v>214.73487270907174</v>
      </c>
      <c r="J263" s="4">
        <v>4777</v>
      </c>
      <c r="K263" s="5">
        <f t="shared" si="25"/>
        <v>2578.9656388055237</v>
      </c>
      <c r="L263" s="5">
        <v>0</v>
      </c>
      <c r="M263" s="5">
        <v>0</v>
      </c>
      <c r="N263" s="4">
        <v>0</v>
      </c>
      <c r="O263" s="5">
        <f t="shared" si="26"/>
        <v>0</v>
      </c>
      <c r="P263" s="4">
        <v>0</v>
      </c>
      <c r="Q263" s="4">
        <v>0</v>
      </c>
      <c r="R263" s="4">
        <v>0</v>
      </c>
      <c r="S263" s="5">
        <f t="shared" si="27"/>
        <v>0</v>
      </c>
      <c r="T263" s="5">
        <f t="shared" si="28"/>
        <v>12.009999150438745</v>
      </c>
      <c r="U263" s="5">
        <f t="shared" si="29"/>
        <v>0</v>
      </c>
      <c r="V263" s="4">
        <v>-16</v>
      </c>
      <c r="W263" s="4">
        <v>8</v>
      </c>
      <c r="X263" s="4">
        <v>3</v>
      </c>
      <c r="Y263" s="4">
        <v>9</v>
      </c>
      <c r="Z263" s="4">
        <v>0</v>
      </c>
      <c r="AA263" s="4">
        <v>0</v>
      </c>
      <c r="AB263" s="4">
        <v>0</v>
      </c>
      <c r="AC263" s="4">
        <v>0</v>
      </c>
      <c r="AD263" s="4"/>
      <c r="AE263" s="54">
        <v>1.219511032104492E-3</v>
      </c>
      <c r="AF263" s="54">
        <v>0.74315381050109863</v>
      </c>
    </row>
    <row r="264" spans="1:32" x14ac:dyDescent="0.2">
      <c r="A264" s="53" t="s">
        <v>2097</v>
      </c>
      <c r="B264" s="53" t="s">
        <v>2104</v>
      </c>
      <c r="C264" s="54" t="s">
        <v>3002</v>
      </c>
      <c r="D264" s="13" t="s">
        <v>1580</v>
      </c>
      <c r="E264" s="4" t="s">
        <v>1582</v>
      </c>
      <c r="F264" s="4" t="s">
        <v>1581</v>
      </c>
      <c r="G264" s="4" t="s">
        <v>42</v>
      </c>
      <c r="H264" s="4">
        <v>1051</v>
      </c>
      <c r="I264" s="5">
        <f t="shared" si="24"/>
        <v>820.67764078994321</v>
      </c>
      <c r="J264" s="4">
        <v>3855</v>
      </c>
      <c r="K264" s="5">
        <f t="shared" si="25"/>
        <v>2081.2042155317763</v>
      </c>
      <c r="L264" s="5">
        <v>0</v>
      </c>
      <c r="M264" s="5">
        <v>0</v>
      </c>
      <c r="N264" s="4">
        <v>0</v>
      </c>
      <c r="O264" s="5">
        <f t="shared" si="26"/>
        <v>0</v>
      </c>
      <c r="P264" s="4">
        <v>0</v>
      </c>
      <c r="Q264" s="4">
        <v>0</v>
      </c>
      <c r="R264" s="4">
        <v>0</v>
      </c>
      <c r="S264" s="5">
        <f t="shared" si="27"/>
        <v>0</v>
      </c>
      <c r="T264" s="5">
        <f t="shared" si="28"/>
        <v>2.5359582277988144</v>
      </c>
      <c r="U264" s="5">
        <f t="shared" si="29"/>
        <v>0</v>
      </c>
      <c r="V264" s="4">
        <v>28</v>
      </c>
      <c r="W264" s="4">
        <v>2</v>
      </c>
      <c r="X264" s="4">
        <v>2</v>
      </c>
      <c r="Y264" s="4">
        <v>33</v>
      </c>
      <c r="Z264" s="4">
        <v>0</v>
      </c>
      <c r="AA264" s="4">
        <v>0</v>
      </c>
      <c r="AB264" s="4">
        <v>0</v>
      </c>
      <c r="AC264" s="4">
        <v>0</v>
      </c>
      <c r="AD264" s="4"/>
      <c r="AE264" s="54">
        <v>-3.9839744567871088E-4</v>
      </c>
      <c r="AF264" s="54">
        <v>-0.43125671148300171</v>
      </c>
    </row>
    <row r="265" spans="1:32" x14ac:dyDescent="0.2">
      <c r="A265" s="53" t="s">
        <v>2097</v>
      </c>
      <c r="B265" s="53" t="s">
        <v>2105</v>
      </c>
      <c r="C265" s="54" t="s">
        <v>3003</v>
      </c>
      <c r="D265" s="13" t="s">
        <v>1583</v>
      </c>
      <c r="E265" s="4" t="s">
        <v>1585</v>
      </c>
      <c r="F265" s="4" t="s">
        <v>1584</v>
      </c>
      <c r="G265" s="4" t="s">
        <v>46</v>
      </c>
      <c r="H265" s="4">
        <v>218</v>
      </c>
      <c r="I265" s="5">
        <f t="shared" si="24"/>
        <v>170.22619000210051</v>
      </c>
      <c r="J265" s="4">
        <v>2314</v>
      </c>
      <c r="K265" s="5">
        <f t="shared" si="25"/>
        <v>1249.2624007109027</v>
      </c>
      <c r="L265" s="5">
        <v>0</v>
      </c>
      <c r="M265" s="5">
        <v>0</v>
      </c>
      <c r="N265" s="4">
        <v>0</v>
      </c>
      <c r="O265" s="5">
        <f t="shared" si="26"/>
        <v>0</v>
      </c>
      <c r="P265" s="4">
        <v>0</v>
      </c>
      <c r="Q265" s="4">
        <v>0</v>
      </c>
      <c r="R265" s="4">
        <v>0</v>
      </c>
      <c r="S265" s="5">
        <f t="shared" si="27"/>
        <v>0</v>
      </c>
      <c r="T265" s="5">
        <f t="shared" si="28"/>
        <v>7.3388378174679669</v>
      </c>
      <c r="U265" s="5">
        <f t="shared" si="29"/>
        <v>0</v>
      </c>
      <c r="V265" s="4">
        <v>-2</v>
      </c>
      <c r="W265" s="4">
        <v>-50</v>
      </c>
      <c r="X265" s="4">
        <v>-2</v>
      </c>
      <c r="Y265" s="4">
        <v>40</v>
      </c>
      <c r="Z265" s="4">
        <v>0</v>
      </c>
      <c r="AA265" s="4">
        <v>0</v>
      </c>
      <c r="AB265" s="4">
        <v>0</v>
      </c>
      <c r="AC265" s="4">
        <v>0</v>
      </c>
      <c r="AD265" s="4"/>
      <c r="AE265" s="54">
        <v>7.781982421875E-4</v>
      </c>
      <c r="AF265" s="54">
        <v>0.61394673585891724</v>
      </c>
    </row>
    <row r="266" spans="1:32" x14ac:dyDescent="0.2">
      <c r="A266" s="53" t="s">
        <v>2097</v>
      </c>
      <c r="B266" s="53" t="s">
        <v>2103</v>
      </c>
      <c r="C266" s="54" t="s">
        <v>3004</v>
      </c>
      <c r="D266" s="13" t="s">
        <v>1577</v>
      </c>
      <c r="E266" s="4" t="s">
        <v>1579</v>
      </c>
      <c r="F266" s="4" t="s">
        <v>1578</v>
      </c>
      <c r="G266" s="4" t="s">
        <v>38</v>
      </c>
      <c r="H266" s="4">
        <v>666</v>
      </c>
      <c r="I266" s="5">
        <f t="shared" si="24"/>
        <v>520.04881899724285</v>
      </c>
      <c r="J266" s="4">
        <v>885</v>
      </c>
      <c r="K266" s="5">
        <f t="shared" si="25"/>
        <v>477.78618177577738</v>
      </c>
      <c r="L266" s="5">
        <v>0</v>
      </c>
      <c r="M266" s="5">
        <v>0</v>
      </c>
      <c r="N266" s="4">
        <v>0</v>
      </c>
      <c r="O266" s="5">
        <f t="shared" si="26"/>
        <v>0</v>
      </c>
      <c r="P266" s="4">
        <v>0</v>
      </c>
      <c r="Q266" s="4">
        <v>0</v>
      </c>
      <c r="R266" s="4">
        <v>0</v>
      </c>
      <c r="S266" s="5">
        <f t="shared" si="27"/>
        <v>0</v>
      </c>
      <c r="T266" s="5">
        <f t="shared" si="28"/>
        <v>0.91873332718463585</v>
      </c>
      <c r="U266" s="5">
        <f t="shared" si="29"/>
        <v>0</v>
      </c>
      <c r="V266" s="4">
        <v>-15</v>
      </c>
      <c r="W266" s="4">
        <v>18</v>
      </c>
      <c r="X266" s="4">
        <v>-15</v>
      </c>
      <c r="Y266" s="4">
        <v>-2</v>
      </c>
      <c r="Z266" s="4">
        <v>0</v>
      </c>
      <c r="AA266" s="4">
        <v>0</v>
      </c>
      <c r="AB266" s="4">
        <v>0</v>
      </c>
      <c r="AC266" s="4">
        <v>0</v>
      </c>
      <c r="AD266" s="4"/>
      <c r="AE266" s="54">
        <v>-1.9209384918212891E-3</v>
      </c>
      <c r="AF266" s="54">
        <v>-0.8596574068069458</v>
      </c>
    </row>
    <row r="267" spans="1:32" x14ac:dyDescent="0.2">
      <c r="A267" s="53" t="s">
        <v>2097</v>
      </c>
      <c r="B267" s="53" t="s">
        <v>2102</v>
      </c>
      <c r="C267" s="54" t="s">
        <v>3005</v>
      </c>
      <c r="D267" s="13" t="s">
        <v>1574</v>
      </c>
      <c r="E267" s="4" t="s">
        <v>1576</v>
      </c>
      <c r="F267" s="4" t="s">
        <v>1575</v>
      </c>
      <c r="G267" s="4" t="s">
        <v>34</v>
      </c>
      <c r="H267" s="4">
        <v>496</v>
      </c>
      <c r="I267" s="5">
        <f t="shared" si="24"/>
        <v>387.30362495890756</v>
      </c>
      <c r="J267" s="4">
        <v>572</v>
      </c>
      <c r="K267" s="5">
        <f t="shared" si="25"/>
        <v>308.8064361307849</v>
      </c>
      <c r="L267" s="5">
        <v>0</v>
      </c>
      <c r="M267" s="5">
        <v>0</v>
      </c>
      <c r="N267" s="4">
        <v>0</v>
      </c>
      <c r="O267" s="5">
        <f t="shared" si="26"/>
        <v>0</v>
      </c>
      <c r="P267" s="4">
        <v>0</v>
      </c>
      <c r="Q267" s="4">
        <v>0</v>
      </c>
      <c r="R267" s="4">
        <v>0</v>
      </c>
      <c r="S267" s="5">
        <f t="shared" si="27"/>
        <v>0</v>
      </c>
      <c r="T267" s="5">
        <f t="shared" si="28"/>
        <v>0.79732389843639828</v>
      </c>
      <c r="U267" s="5">
        <f t="shared" si="29"/>
        <v>0</v>
      </c>
      <c r="V267" s="4">
        <v>-27</v>
      </c>
      <c r="W267" s="4">
        <v>-37</v>
      </c>
      <c r="X267" s="4">
        <v>-27</v>
      </c>
      <c r="Y267" s="4">
        <v>7</v>
      </c>
      <c r="Z267" s="4">
        <v>0</v>
      </c>
      <c r="AA267" s="4">
        <v>0</v>
      </c>
      <c r="AB267" s="4">
        <v>0</v>
      </c>
      <c r="AC267" s="4">
        <v>0</v>
      </c>
      <c r="AD267" s="4"/>
      <c r="AE267" s="54">
        <v>1.362919807434082E-3</v>
      </c>
      <c r="AF267" s="54">
        <v>0.7771916389465332</v>
      </c>
    </row>
    <row r="268" spans="1:32" x14ac:dyDescent="0.2">
      <c r="A268" s="53" t="s">
        <v>2097</v>
      </c>
      <c r="B268" s="53" t="s">
        <v>2100</v>
      </c>
      <c r="C268" s="54" t="s">
        <v>3007</v>
      </c>
      <c r="D268" s="13" t="s">
        <v>1568</v>
      </c>
      <c r="E268" s="4" t="s">
        <v>1570</v>
      </c>
      <c r="F268" s="4" t="s">
        <v>1569</v>
      </c>
      <c r="G268" s="4" t="s">
        <v>27</v>
      </c>
      <c r="H268" s="4">
        <v>2475</v>
      </c>
      <c r="I268" s="5">
        <f t="shared" si="24"/>
        <v>1932.6138543816455</v>
      </c>
      <c r="J268" s="4">
        <v>2071</v>
      </c>
      <c r="K268" s="5">
        <f t="shared" si="25"/>
        <v>1118.0736524945028</v>
      </c>
      <c r="L268" s="5">
        <v>0</v>
      </c>
      <c r="M268" s="5">
        <v>1</v>
      </c>
      <c r="N268" s="4">
        <v>0</v>
      </c>
      <c r="O268" s="5">
        <f t="shared" si="26"/>
        <v>0.33333333333333331</v>
      </c>
      <c r="P268" s="4">
        <v>0</v>
      </c>
      <c r="Q268" s="4">
        <v>0</v>
      </c>
      <c r="R268" s="4">
        <v>0</v>
      </c>
      <c r="S268" s="5">
        <f t="shared" si="27"/>
        <v>0</v>
      </c>
      <c r="T268" s="5">
        <f t="shared" si="28"/>
        <v>0.57852925454280102</v>
      </c>
      <c r="U268" s="5">
        <f t="shared" si="29"/>
        <v>0</v>
      </c>
      <c r="V268" s="4">
        <v>-467</v>
      </c>
      <c r="W268" s="4" t="s">
        <v>21</v>
      </c>
      <c r="X268" s="4" t="s">
        <v>21</v>
      </c>
      <c r="Y268" s="4" t="s">
        <v>21</v>
      </c>
      <c r="Z268" s="4">
        <v>0</v>
      </c>
      <c r="AA268" s="4">
        <v>0</v>
      </c>
      <c r="AB268" s="4">
        <v>0</v>
      </c>
      <c r="AC268" s="4">
        <v>0</v>
      </c>
      <c r="AD268" s="4"/>
      <c r="AE268" s="54">
        <v>-1.072049140930176E-2</v>
      </c>
      <c r="AF268" s="54">
        <v>-0.99839860200881958</v>
      </c>
    </row>
    <row r="269" spans="1:32" x14ac:dyDescent="0.2">
      <c r="A269" s="53" t="s">
        <v>2097</v>
      </c>
      <c r="B269" s="53" t="s">
        <v>2098</v>
      </c>
      <c r="C269" s="54" t="s">
        <v>3008</v>
      </c>
      <c r="D269" s="13" t="s">
        <v>1565</v>
      </c>
      <c r="E269" s="4" t="s">
        <v>1567</v>
      </c>
      <c r="F269" s="4" t="s">
        <v>1566</v>
      </c>
      <c r="G269" s="12" t="s">
        <v>22</v>
      </c>
      <c r="H269" s="4">
        <v>671</v>
      </c>
      <c r="I269" s="5">
        <f t="shared" si="24"/>
        <v>523.95308941013502</v>
      </c>
      <c r="J269" s="4">
        <v>4636</v>
      </c>
      <c r="K269" s="5">
        <f t="shared" si="25"/>
        <v>2502.8437725565018</v>
      </c>
      <c r="L269" s="5">
        <v>0</v>
      </c>
      <c r="M269" s="5">
        <v>0</v>
      </c>
      <c r="N269" s="4">
        <v>0</v>
      </c>
      <c r="O269" s="5">
        <f t="shared" si="26"/>
        <v>0</v>
      </c>
      <c r="P269" s="4">
        <v>0</v>
      </c>
      <c r="Q269" s="4">
        <v>0</v>
      </c>
      <c r="R269" s="4">
        <v>0</v>
      </c>
      <c r="S269" s="5">
        <f t="shared" si="27"/>
        <v>0</v>
      </c>
      <c r="T269" s="5">
        <f t="shared" si="28"/>
        <v>4.7768470558579903</v>
      </c>
      <c r="U269" s="5">
        <f t="shared" si="29"/>
        <v>0</v>
      </c>
      <c r="V269" s="4">
        <v>35</v>
      </c>
      <c r="W269" s="4">
        <v>-18</v>
      </c>
      <c r="X269" s="4">
        <v>41</v>
      </c>
      <c r="Y269" s="4">
        <v>-12</v>
      </c>
      <c r="Z269" s="4">
        <v>0</v>
      </c>
      <c r="AA269" s="4">
        <v>0</v>
      </c>
      <c r="AB269" s="4">
        <v>0</v>
      </c>
      <c r="AC269" s="4">
        <v>0</v>
      </c>
      <c r="AD269" s="4"/>
      <c r="AE269" s="54">
        <v>-5.8090686798095703E-4</v>
      </c>
      <c r="AF269" s="54">
        <v>-0.52033525705337524</v>
      </c>
    </row>
    <row r="270" spans="1:32" x14ac:dyDescent="0.2">
      <c r="A270" s="53" t="s">
        <v>2097</v>
      </c>
      <c r="B270" s="53" t="s">
        <v>2125</v>
      </c>
      <c r="C270" s="54" t="s">
        <v>3010</v>
      </c>
      <c r="D270" s="13" t="s">
        <v>71</v>
      </c>
      <c r="E270" s="4" t="s">
        <v>73</v>
      </c>
      <c r="F270" s="4" t="s">
        <v>72</v>
      </c>
      <c r="G270" s="4" t="s">
        <v>17</v>
      </c>
      <c r="H270" s="4">
        <v>1026</v>
      </c>
      <c r="I270" s="5">
        <f t="shared" si="24"/>
        <v>801.15628872548211</v>
      </c>
      <c r="J270" s="4">
        <v>1101</v>
      </c>
      <c r="K270" s="5">
        <f t="shared" si="25"/>
        <v>594.3984024125773</v>
      </c>
      <c r="L270" s="5">
        <v>0</v>
      </c>
      <c r="M270" s="5">
        <v>0</v>
      </c>
      <c r="N270" s="4">
        <v>0</v>
      </c>
      <c r="O270" s="5">
        <f t="shared" si="26"/>
        <v>0</v>
      </c>
      <c r="P270" s="4">
        <v>0</v>
      </c>
      <c r="Q270" s="4">
        <v>0</v>
      </c>
      <c r="R270" s="4">
        <v>0</v>
      </c>
      <c r="S270" s="5">
        <f t="shared" si="27"/>
        <v>0</v>
      </c>
      <c r="T270" s="5">
        <f t="shared" si="28"/>
        <v>0.74192565268154453</v>
      </c>
      <c r="U270" s="5">
        <f t="shared" si="29"/>
        <v>0</v>
      </c>
      <c r="V270" s="4">
        <v>73</v>
      </c>
      <c r="W270" s="4" t="s">
        <v>21</v>
      </c>
      <c r="X270" s="4">
        <v>5</v>
      </c>
      <c r="Y270" s="4" t="s">
        <v>21</v>
      </c>
      <c r="Z270" s="4">
        <v>0.02</v>
      </c>
      <c r="AA270" s="4">
        <v>0</v>
      </c>
      <c r="AB270" s="4">
        <v>0.05</v>
      </c>
      <c r="AC270" s="4">
        <v>0</v>
      </c>
      <c r="AD270" s="4"/>
      <c r="AE270" s="54">
        <v>-2.1226406097412109E-3</v>
      </c>
      <c r="AF270" s="54">
        <v>-0.88445228338241577</v>
      </c>
    </row>
    <row r="271" spans="1:32" x14ac:dyDescent="0.2">
      <c r="A271" s="53" t="s">
        <v>2097</v>
      </c>
      <c r="B271" s="53" t="s">
        <v>2124</v>
      </c>
      <c r="C271" s="54" t="s">
        <v>3011</v>
      </c>
      <c r="D271" s="13" t="s">
        <v>143</v>
      </c>
      <c r="E271" s="4" t="s">
        <v>145</v>
      </c>
      <c r="F271" s="4" t="s">
        <v>144</v>
      </c>
      <c r="G271" s="4" t="s">
        <v>111</v>
      </c>
      <c r="H271" s="4">
        <v>2236</v>
      </c>
      <c r="I271" s="5">
        <f t="shared" si="24"/>
        <v>1745.9897286453977</v>
      </c>
      <c r="J271" s="4">
        <v>1063</v>
      </c>
      <c r="K271" s="5">
        <f t="shared" si="25"/>
        <v>573.88328952276993</v>
      </c>
      <c r="L271" s="5">
        <v>0</v>
      </c>
      <c r="M271" s="5">
        <v>0</v>
      </c>
      <c r="N271" s="4">
        <v>1</v>
      </c>
      <c r="O271" s="5">
        <f t="shared" si="26"/>
        <v>0.33333333333333331</v>
      </c>
      <c r="P271" s="4">
        <v>0</v>
      </c>
      <c r="Q271" s="4">
        <v>0</v>
      </c>
      <c r="R271" s="4">
        <v>0</v>
      </c>
      <c r="S271" s="5">
        <f t="shared" si="27"/>
        <v>0</v>
      </c>
      <c r="T271" s="5">
        <f t="shared" si="28"/>
        <v>0.32868652094993106</v>
      </c>
      <c r="U271" s="5">
        <f t="shared" si="29"/>
        <v>0</v>
      </c>
      <c r="V271" s="4">
        <v>-173</v>
      </c>
      <c r="W271" s="4">
        <v>184</v>
      </c>
      <c r="X271" s="4" t="s">
        <v>21</v>
      </c>
      <c r="Y271" s="4">
        <v>5</v>
      </c>
      <c r="Z271" s="4">
        <v>0.01</v>
      </c>
      <c r="AA271" s="4">
        <v>0.01</v>
      </c>
      <c r="AB271" s="4">
        <v>0</v>
      </c>
      <c r="AC271" s="4">
        <v>0.01</v>
      </c>
      <c r="AD271" s="4"/>
      <c r="AE271" s="54">
        <v>2.7116537094116211E-3</v>
      </c>
      <c r="AF271" s="54">
        <v>0.93037623167037964</v>
      </c>
    </row>
    <row r="272" spans="1:32" x14ac:dyDescent="0.2">
      <c r="A272" s="53" t="s">
        <v>2097</v>
      </c>
      <c r="B272" s="53" t="s">
        <v>2111</v>
      </c>
      <c r="C272" s="54" t="s">
        <v>3012</v>
      </c>
      <c r="D272" s="13" t="s">
        <v>122</v>
      </c>
      <c r="E272" s="4" t="s">
        <v>124</v>
      </c>
      <c r="F272" s="4" t="s">
        <v>123</v>
      </c>
      <c r="G272" s="17" t="s">
        <v>66</v>
      </c>
      <c r="H272" s="4">
        <v>2627</v>
      </c>
      <c r="I272" s="5">
        <f t="shared" si="24"/>
        <v>2051.3036749335688</v>
      </c>
      <c r="J272" s="4">
        <v>4124</v>
      </c>
      <c r="K272" s="5">
        <f t="shared" si="25"/>
        <v>2226.4296199359387</v>
      </c>
      <c r="L272" s="5">
        <v>0</v>
      </c>
      <c r="M272" s="5">
        <v>0</v>
      </c>
      <c r="N272" s="4">
        <v>0</v>
      </c>
      <c r="O272" s="5">
        <f t="shared" si="26"/>
        <v>0</v>
      </c>
      <c r="P272" s="4">
        <v>0</v>
      </c>
      <c r="Q272" s="4">
        <v>0</v>
      </c>
      <c r="R272" s="4">
        <v>0</v>
      </c>
      <c r="S272" s="5">
        <f t="shared" si="27"/>
        <v>0</v>
      </c>
      <c r="T272" s="5">
        <f t="shared" si="28"/>
        <v>1.0853729982266236</v>
      </c>
      <c r="U272" s="5">
        <f t="shared" si="29"/>
        <v>0</v>
      </c>
      <c r="V272" s="4">
        <v>-1</v>
      </c>
      <c r="W272" s="4">
        <v>-20</v>
      </c>
      <c r="X272" s="4">
        <v>-20</v>
      </c>
      <c r="Y272" s="4">
        <v>-49</v>
      </c>
      <c r="Z272" s="4">
        <v>0.08</v>
      </c>
      <c r="AA272" s="4">
        <v>7.0000000000000007E-2</v>
      </c>
      <c r="AB272" s="4">
        <v>0</v>
      </c>
      <c r="AC272" s="4">
        <v>0</v>
      </c>
      <c r="AD272" s="4"/>
      <c r="AE272" s="54">
        <v>5.7669281959533691E-2</v>
      </c>
      <c r="AF272" s="54">
        <v>0.99989944696426392</v>
      </c>
    </row>
    <row r="273" spans="1:32" x14ac:dyDescent="0.2">
      <c r="A273" s="53" t="s">
        <v>2097</v>
      </c>
      <c r="B273" s="53" t="s">
        <v>2121</v>
      </c>
      <c r="C273" s="54" t="s">
        <v>3015</v>
      </c>
      <c r="D273" s="13" t="s">
        <v>1710</v>
      </c>
      <c r="E273" s="4" t="s">
        <v>1712</v>
      </c>
      <c r="F273" s="4" t="s">
        <v>1711</v>
      </c>
      <c r="G273" s="4" t="s">
        <v>27</v>
      </c>
      <c r="H273" s="4">
        <v>305</v>
      </c>
      <c r="I273" s="5">
        <f t="shared" si="24"/>
        <v>238.16049518642501</v>
      </c>
      <c r="J273" s="4">
        <v>5199</v>
      </c>
      <c r="K273" s="5">
        <f t="shared" si="25"/>
        <v>2806.7913661607531</v>
      </c>
      <c r="L273" s="5">
        <v>0</v>
      </c>
      <c r="M273" s="5">
        <v>0</v>
      </c>
      <c r="N273" s="4">
        <v>0</v>
      </c>
      <c r="O273" s="5">
        <f t="shared" si="26"/>
        <v>0</v>
      </c>
      <c r="P273" s="4">
        <v>0</v>
      </c>
      <c r="Q273" s="4">
        <v>0</v>
      </c>
      <c r="R273" s="4">
        <v>0</v>
      </c>
      <c r="S273" s="5">
        <f t="shared" si="27"/>
        <v>0</v>
      </c>
      <c r="T273" s="5">
        <f t="shared" si="28"/>
        <v>11.785293627155417</v>
      </c>
      <c r="U273" s="5">
        <f t="shared" si="29"/>
        <v>0</v>
      </c>
      <c r="V273" s="4" t="s">
        <v>21</v>
      </c>
      <c r="W273" s="4" t="s">
        <v>21</v>
      </c>
      <c r="X273" s="4" t="s">
        <v>21</v>
      </c>
      <c r="Y273" s="4" t="s">
        <v>21</v>
      </c>
      <c r="Z273" s="4">
        <v>0</v>
      </c>
      <c r="AA273" s="4">
        <v>0</v>
      </c>
      <c r="AB273" s="4">
        <v>0</v>
      </c>
      <c r="AC273" s="4">
        <v>0</v>
      </c>
      <c r="AD273" s="4"/>
      <c r="AE273" s="54">
        <v>1.535415649414062E-4</v>
      </c>
      <c r="AF273" s="54">
        <v>0.26999989151954651</v>
      </c>
    </row>
    <row r="274" spans="1:32" x14ac:dyDescent="0.2">
      <c r="A274" s="53" t="s">
        <v>2565</v>
      </c>
      <c r="B274" s="53" t="s">
        <v>2569</v>
      </c>
      <c r="C274" s="54" t="s">
        <v>3017</v>
      </c>
      <c r="D274" s="8" t="s">
        <v>280</v>
      </c>
      <c r="E274" s="9" t="s">
        <v>2568</v>
      </c>
      <c r="F274" s="9" t="s">
        <v>275</v>
      </c>
      <c r="G274" s="4" t="s">
        <v>1374</v>
      </c>
      <c r="H274" s="4">
        <v>3330</v>
      </c>
      <c r="I274" s="5">
        <f t="shared" si="24"/>
        <v>2600.2440949862139</v>
      </c>
      <c r="J274" s="4">
        <v>1704</v>
      </c>
      <c r="K274" s="5">
        <f t="shared" si="25"/>
        <v>919.9408516903103</v>
      </c>
      <c r="L274" s="5">
        <v>0</v>
      </c>
      <c r="M274" s="5">
        <v>0</v>
      </c>
      <c r="N274" s="4">
        <v>0</v>
      </c>
      <c r="O274" s="5">
        <f t="shared" si="26"/>
        <v>0</v>
      </c>
      <c r="P274" s="4">
        <v>0</v>
      </c>
      <c r="Q274" s="4">
        <v>0</v>
      </c>
      <c r="R274" s="4">
        <v>0</v>
      </c>
      <c r="S274" s="5">
        <f t="shared" si="27"/>
        <v>0</v>
      </c>
      <c r="T274" s="5">
        <f t="shared" si="28"/>
        <v>0.35379018972262588</v>
      </c>
      <c r="U274" s="5">
        <f t="shared" si="29"/>
        <v>0</v>
      </c>
      <c r="V274" s="4">
        <v>-36</v>
      </c>
      <c r="W274" s="4">
        <v>-10</v>
      </c>
      <c r="X274" s="4">
        <v>34</v>
      </c>
      <c r="Y274" s="4">
        <v>46</v>
      </c>
      <c r="Z274" s="4">
        <v>0</v>
      </c>
      <c r="AA274" s="4">
        <v>0</v>
      </c>
      <c r="AB274" s="4">
        <v>0</v>
      </c>
      <c r="AC274" s="4">
        <v>0</v>
      </c>
      <c r="AD274" s="4"/>
      <c r="AE274" s="54">
        <v>7.8725814819335938E-4</v>
      </c>
      <c r="AF274" s="54">
        <v>0.64861905574798584</v>
      </c>
    </row>
    <row r="275" spans="1:32" x14ac:dyDescent="0.2">
      <c r="A275" s="53" t="s">
        <v>2565</v>
      </c>
      <c r="B275" s="53" t="s">
        <v>2571</v>
      </c>
      <c r="C275" s="54" t="s">
        <v>3018</v>
      </c>
      <c r="D275" s="8" t="s">
        <v>297</v>
      </c>
      <c r="E275" s="9" t="s">
        <v>2570</v>
      </c>
      <c r="F275" s="9" t="s">
        <v>281</v>
      </c>
      <c r="G275" s="4" t="s">
        <v>107</v>
      </c>
      <c r="H275" s="4">
        <v>2321</v>
      </c>
      <c r="I275" s="5">
        <f t="shared" si="24"/>
        <v>1812.3623256645653</v>
      </c>
      <c r="J275" s="4">
        <v>1259</v>
      </c>
      <c r="K275" s="5">
        <f t="shared" si="25"/>
        <v>679.69808232282901</v>
      </c>
      <c r="L275" s="5">
        <v>0</v>
      </c>
      <c r="M275" s="5">
        <v>0</v>
      </c>
      <c r="N275" s="4">
        <v>0</v>
      </c>
      <c r="O275" s="5">
        <f t="shared" si="26"/>
        <v>0</v>
      </c>
      <c r="P275" s="4">
        <v>0</v>
      </c>
      <c r="Q275" s="4">
        <v>0</v>
      </c>
      <c r="R275" s="4">
        <v>0</v>
      </c>
      <c r="S275" s="5">
        <f t="shared" si="27"/>
        <v>0</v>
      </c>
      <c r="T275" s="5">
        <f t="shared" si="28"/>
        <v>0.37503432547550569</v>
      </c>
      <c r="U275" s="5">
        <f t="shared" si="29"/>
        <v>0</v>
      </c>
      <c r="V275" s="4">
        <v>-12</v>
      </c>
      <c r="W275" s="4">
        <v>32</v>
      </c>
      <c r="X275" s="4">
        <v>-12</v>
      </c>
      <c r="Y275" s="4">
        <v>-27</v>
      </c>
      <c r="Z275" s="4">
        <v>0</v>
      </c>
      <c r="AA275" s="4">
        <v>0</v>
      </c>
      <c r="AB275" s="4">
        <v>0</v>
      </c>
      <c r="AC275" s="4">
        <v>0</v>
      </c>
      <c r="AD275" s="4"/>
      <c r="AE275" s="54">
        <v>-1.187324523925781E-4</v>
      </c>
      <c r="AF275" s="54">
        <v>-0.29125374555587769</v>
      </c>
    </row>
    <row r="276" spans="1:32" x14ac:dyDescent="0.2">
      <c r="A276" s="53" t="s">
        <v>2565</v>
      </c>
      <c r="B276" s="53" t="s">
        <v>2567</v>
      </c>
      <c r="C276" s="54" t="s">
        <v>3019</v>
      </c>
      <c r="D276" s="8" t="s">
        <v>274</v>
      </c>
      <c r="E276" s="9" t="s">
        <v>2566</v>
      </c>
      <c r="F276" s="9" t="s">
        <v>270</v>
      </c>
      <c r="G276" s="4" t="s">
        <v>253</v>
      </c>
      <c r="H276" s="4">
        <v>280</v>
      </c>
      <c r="I276" s="5">
        <f t="shared" si="24"/>
        <v>218.63914312196394</v>
      </c>
      <c r="J276" s="4">
        <v>687</v>
      </c>
      <c r="K276" s="5">
        <f t="shared" si="25"/>
        <v>370.89164619204416</v>
      </c>
      <c r="L276" s="5">
        <v>0</v>
      </c>
      <c r="M276" s="5">
        <v>0</v>
      </c>
      <c r="N276" s="4">
        <v>0</v>
      </c>
      <c r="O276" s="5">
        <f t="shared" si="26"/>
        <v>0</v>
      </c>
      <c r="P276" s="4">
        <v>0</v>
      </c>
      <c r="Q276" s="4">
        <v>0</v>
      </c>
      <c r="R276" s="4">
        <v>0</v>
      </c>
      <c r="S276" s="5">
        <f t="shared" si="27"/>
        <v>0</v>
      </c>
      <c r="T276" s="5">
        <f t="shared" si="28"/>
        <v>1.6963643421578398</v>
      </c>
      <c r="U276" s="5">
        <f t="shared" si="29"/>
        <v>0</v>
      </c>
      <c r="V276" s="4">
        <v>-26</v>
      </c>
      <c r="W276" s="4">
        <v>11</v>
      </c>
      <c r="X276" s="4">
        <v>47</v>
      </c>
      <c r="Y276" s="4">
        <v>-25</v>
      </c>
      <c r="Z276" s="4">
        <v>0</v>
      </c>
      <c r="AA276" s="4">
        <v>0</v>
      </c>
      <c r="AB276" s="4">
        <v>0</v>
      </c>
      <c r="AC276" s="4">
        <v>0</v>
      </c>
      <c r="AD276" s="4"/>
      <c r="AE276" s="54">
        <v>5.0187110900878906E-4</v>
      </c>
      <c r="AF276" s="54">
        <v>0.54511702060699463</v>
      </c>
    </row>
    <row r="277" spans="1:32" x14ac:dyDescent="0.2">
      <c r="A277" s="53" t="s">
        <v>2565</v>
      </c>
      <c r="B277" s="53" t="s">
        <v>2564</v>
      </c>
      <c r="C277" s="54" t="s">
        <v>3020</v>
      </c>
      <c r="D277" s="8" t="s">
        <v>269</v>
      </c>
      <c r="E277" s="4" t="s">
        <v>802</v>
      </c>
      <c r="F277" s="4" t="s">
        <v>801</v>
      </c>
      <c r="G277" s="4" t="s">
        <v>107</v>
      </c>
      <c r="H277" s="4">
        <v>202</v>
      </c>
      <c r="I277" s="5">
        <f t="shared" si="24"/>
        <v>157.73252468084542</v>
      </c>
      <c r="J277" s="4">
        <v>2997</v>
      </c>
      <c r="K277" s="5">
        <f t="shared" si="25"/>
        <v>1617.9945613355987</v>
      </c>
      <c r="L277" s="5">
        <v>0</v>
      </c>
      <c r="M277" s="5">
        <v>0</v>
      </c>
      <c r="N277" s="4">
        <v>0</v>
      </c>
      <c r="O277" s="5">
        <f t="shared" si="26"/>
        <v>0</v>
      </c>
      <c r="P277" s="4">
        <v>0</v>
      </c>
      <c r="Q277" s="4">
        <v>0</v>
      </c>
      <c r="R277" s="4">
        <v>0</v>
      </c>
      <c r="S277" s="5">
        <f t="shared" si="27"/>
        <v>0</v>
      </c>
      <c r="T277" s="5">
        <f t="shared" si="28"/>
        <v>10.25783721277165</v>
      </c>
      <c r="U277" s="5">
        <f t="shared" si="29"/>
        <v>0</v>
      </c>
      <c r="V277" s="4">
        <v>10</v>
      </c>
      <c r="W277" s="4">
        <v>-27</v>
      </c>
      <c r="X277" s="4">
        <v>-26</v>
      </c>
      <c r="Y277" s="4">
        <v>46</v>
      </c>
      <c r="Z277" s="4">
        <v>0</v>
      </c>
      <c r="AA277" s="4">
        <v>0</v>
      </c>
      <c r="AB277" s="4">
        <v>0</v>
      </c>
      <c r="AC277" s="4">
        <v>0</v>
      </c>
      <c r="AD277" s="4"/>
      <c r="AE277" s="54">
        <v>-3.4093856811523438E-5</v>
      </c>
      <c r="AF277" s="54">
        <v>-0.17133314907550809</v>
      </c>
    </row>
    <row r="278" spans="1:32" x14ac:dyDescent="0.2">
      <c r="A278" s="53" t="s">
        <v>2565</v>
      </c>
      <c r="B278" s="53" t="s">
        <v>2576</v>
      </c>
      <c r="C278" s="54" t="s">
        <v>3021</v>
      </c>
      <c r="D278" s="8" t="s">
        <v>301</v>
      </c>
      <c r="E278" s="9" t="s">
        <v>2575</v>
      </c>
      <c r="F278" s="9" t="s">
        <v>300</v>
      </c>
      <c r="G278" s="4" t="s">
        <v>1387</v>
      </c>
      <c r="H278" s="4">
        <v>693</v>
      </c>
      <c r="I278" s="5">
        <f t="shared" si="24"/>
        <v>541.13187922686075</v>
      </c>
      <c r="J278" s="4">
        <v>4324</v>
      </c>
      <c r="K278" s="5">
        <f t="shared" si="25"/>
        <v>2334.4038983033461</v>
      </c>
      <c r="L278" s="5">
        <v>0</v>
      </c>
      <c r="M278" s="5">
        <v>0</v>
      </c>
      <c r="N278" s="4">
        <v>0</v>
      </c>
      <c r="O278" s="5">
        <f t="shared" si="26"/>
        <v>0</v>
      </c>
      <c r="P278" s="4">
        <v>0</v>
      </c>
      <c r="Q278" s="4">
        <v>0</v>
      </c>
      <c r="R278" s="4">
        <v>0</v>
      </c>
      <c r="S278" s="5">
        <f t="shared" si="27"/>
        <v>0</v>
      </c>
      <c r="T278" s="5">
        <f t="shared" si="28"/>
        <v>4.313927875841677</v>
      </c>
      <c r="U278" s="5">
        <f t="shared" si="29"/>
        <v>0</v>
      </c>
      <c r="V278" s="4">
        <v>-40</v>
      </c>
      <c r="W278" s="4">
        <v>-19</v>
      </c>
      <c r="X278" s="4">
        <v>49</v>
      </c>
      <c r="Y278" s="4">
        <v>-40</v>
      </c>
      <c r="Z278" s="4">
        <v>0</v>
      </c>
      <c r="AA278" s="4">
        <v>0</v>
      </c>
      <c r="AB278" s="4">
        <v>0</v>
      </c>
      <c r="AC278" s="4">
        <v>0</v>
      </c>
      <c r="AD278" s="4"/>
      <c r="AE278" s="54">
        <v>4.777908325195312E-4</v>
      </c>
      <c r="AF278" s="54">
        <v>0.52869731187820435</v>
      </c>
    </row>
    <row r="279" spans="1:32" x14ac:dyDescent="0.2">
      <c r="A279" s="53" t="s">
        <v>2565</v>
      </c>
      <c r="B279" s="53" t="s">
        <v>2574</v>
      </c>
      <c r="C279" s="54" t="s">
        <v>3022</v>
      </c>
      <c r="D279" s="8" t="s">
        <v>23</v>
      </c>
      <c r="E279" s="4" t="s">
        <v>1231</v>
      </c>
      <c r="F279" s="4" t="s">
        <v>1230</v>
      </c>
      <c r="G279" s="4" t="s">
        <v>164</v>
      </c>
      <c r="H279" s="4">
        <v>385</v>
      </c>
      <c r="I279" s="5">
        <f t="shared" si="24"/>
        <v>300.62882179270042</v>
      </c>
      <c r="J279" s="4">
        <v>2330</v>
      </c>
      <c r="K279" s="5">
        <f t="shared" si="25"/>
        <v>1257.9003429802951</v>
      </c>
      <c r="L279" s="5">
        <v>0</v>
      </c>
      <c r="M279" s="5">
        <v>0</v>
      </c>
      <c r="N279" s="4">
        <v>0</v>
      </c>
      <c r="O279" s="5">
        <f t="shared" si="26"/>
        <v>0</v>
      </c>
      <c r="P279" s="4">
        <v>0</v>
      </c>
      <c r="Q279" s="4">
        <v>0</v>
      </c>
      <c r="R279" s="4">
        <v>0</v>
      </c>
      <c r="S279" s="5">
        <f t="shared" si="27"/>
        <v>0</v>
      </c>
      <c r="T279" s="5">
        <f t="shared" si="28"/>
        <v>4.1842306917853822</v>
      </c>
      <c r="U279" s="5">
        <f t="shared" si="29"/>
        <v>0</v>
      </c>
      <c r="V279" s="4">
        <v>21</v>
      </c>
      <c r="W279" s="4">
        <v>-10</v>
      </c>
      <c r="X279" s="4">
        <v>-40</v>
      </c>
      <c r="Y279" s="4">
        <v>3</v>
      </c>
      <c r="Z279" s="4">
        <v>0</v>
      </c>
      <c r="AA279" s="4">
        <v>0</v>
      </c>
      <c r="AB279" s="4" t="s">
        <v>21</v>
      </c>
      <c r="AC279" s="4" t="s">
        <v>21</v>
      </c>
      <c r="AD279" s="4"/>
      <c r="AE279" s="54">
        <v>1.509952545166016E-2</v>
      </c>
      <c r="AF279" s="54">
        <v>0.99928551912307739</v>
      </c>
    </row>
    <row r="280" spans="1:32" x14ac:dyDescent="0.2">
      <c r="A280" s="53" t="s">
        <v>2565</v>
      </c>
      <c r="B280" s="53" t="s">
        <v>2573</v>
      </c>
      <c r="C280" s="54" t="s">
        <v>3023</v>
      </c>
      <c r="D280" s="8" t="s">
        <v>299</v>
      </c>
      <c r="E280" s="9" t="s">
        <v>2572</v>
      </c>
      <c r="F280" s="9" t="s">
        <v>298</v>
      </c>
      <c r="G280" s="4" t="s">
        <v>1374</v>
      </c>
      <c r="H280" s="4">
        <v>1621</v>
      </c>
      <c r="I280" s="5">
        <f t="shared" si="24"/>
        <v>1265.7644678596555</v>
      </c>
      <c r="J280" s="4">
        <v>1591</v>
      </c>
      <c r="K280" s="5">
        <f t="shared" si="25"/>
        <v>858.93538441272517</v>
      </c>
      <c r="L280" s="5">
        <v>0</v>
      </c>
      <c r="M280" s="5">
        <v>0</v>
      </c>
      <c r="N280" s="4">
        <v>0</v>
      </c>
      <c r="O280" s="5">
        <f t="shared" si="26"/>
        <v>0</v>
      </c>
      <c r="P280" s="4">
        <v>0</v>
      </c>
      <c r="Q280" s="4">
        <v>0</v>
      </c>
      <c r="R280" s="4">
        <v>0</v>
      </c>
      <c r="S280" s="5">
        <f t="shared" si="27"/>
        <v>0</v>
      </c>
      <c r="T280" s="5">
        <f t="shared" si="28"/>
        <v>0.67859021660257379</v>
      </c>
      <c r="U280" s="5">
        <f t="shared" si="29"/>
        <v>0</v>
      </c>
      <c r="V280" s="4" t="s">
        <v>21</v>
      </c>
      <c r="W280" s="4" t="s">
        <v>21</v>
      </c>
      <c r="X280" s="4" t="s">
        <v>21</v>
      </c>
      <c r="Y280" s="4" t="s">
        <v>21</v>
      </c>
      <c r="Z280" s="10">
        <v>0</v>
      </c>
      <c r="AA280" s="10">
        <v>0</v>
      </c>
      <c r="AB280" s="10">
        <v>0</v>
      </c>
      <c r="AC280" s="10">
        <v>0</v>
      </c>
      <c r="AD280" s="4"/>
      <c r="AE280" s="54">
        <v>-3.92913818359375E-4</v>
      </c>
      <c r="AF280" s="54">
        <v>-0.47702011466026312</v>
      </c>
    </row>
    <row r="281" spans="1:32" x14ac:dyDescent="0.2">
      <c r="A281" s="53" t="s">
        <v>2565</v>
      </c>
      <c r="B281" s="53" t="s">
        <v>2578</v>
      </c>
      <c r="C281" s="54" t="s">
        <v>3024</v>
      </c>
      <c r="D281" s="13" t="s">
        <v>800</v>
      </c>
      <c r="E281" s="9" t="s">
        <v>2577</v>
      </c>
      <c r="F281" s="9" t="s">
        <v>24</v>
      </c>
      <c r="G281" s="4" t="s">
        <v>253</v>
      </c>
      <c r="H281" s="4">
        <v>394</v>
      </c>
      <c r="I281" s="5">
        <f t="shared" si="24"/>
        <v>307.65650853590643</v>
      </c>
      <c r="J281" s="4">
        <v>2911</v>
      </c>
      <c r="K281" s="5">
        <f t="shared" si="25"/>
        <v>1571.5656216376135</v>
      </c>
      <c r="L281" s="5">
        <v>0</v>
      </c>
      <c r="M281" s="5">
        <v>0</v>
      </c>
      <c r="N281" s="4">
        <v>0</v>
      </c>
      <c r="O281" s="5">
        <f t="shared" si="26"/>
        <v>0</v>
      </c>
      <c r="P281" s="4">
        <v>0</v>
      </c>
      <c r="Q281" s="4">
        <v>0</v>
      </c>
      <c r="R281" s="4">
        <v>0</v>
      </c>
      <c r="S281" s="5">
        <f t="shared" si="27"/>
        <v>0</v>
      </c>
      <c r="T281" s="5">
        <f t="shared" si="28"/>
        <v>5.1081825933618985</v>
      </c>
      <c r="U281" s="5">
        <f t="shared" si="29"/>
        <v>0</v>
      </c>
      <c r="V281" s="4">
        <v>-10</v>
      </c>
      <c r="W281" s="4">
        <v>-34</v>
      </c>
      <c r="X281" s="4">
        <v>-38</v>
      </c>
      <c r="Y281" s="4">
        <v>-34</v>
      </c>
      <c r="Z281" s="4">
        <v>0</v>
      </c>
      <c r="AA281" s="4">
        <v>0</v>
      </c>
      <c r="AB281" s="4">
        <v>0</v>
      </c>
      <c r="AC281" s="4">
        <v>0</v>
      </c>
      <c r="AD281" s="4"/>
      <c r="AE281" s="54">
        <v>1.2394189834594731E-3</v>
      </c>
      <c r="AF281" s="54">
        <v>0.76789063215255737</v>
      </c>
    </row>
    <row r="282" spans="1:32" x14ac:dyDescent="0.2">
      <c r="A282" s="53" t="s">
        <v>2565</v>
      </c>
      <c r="B282" s="53" t="s">
        <v>2580</v>
      </c>
      <c r="C282" s="54" t="s">
        <v>3025</v>
      </c>
      <c r="D282" s="13" t="s">
        <v>1229</v>
      </c>
      <c r="E282" s="9" t="s">
        <v>2579</v>
      </c>
      <c r="F282" s="9" t="s">
        <v>302</v>
      </c>
      <c r="G282" s="4" t="s">
        <v>17</v>
      </c>
      <c r="H282" s="4">
        <v>315</v>
      </c>
      <c r="I282" s="5">
        <f t="shared" si="24"/>
        <v>245.96903601220944</v>
      </c>
      <c r="J282" s="4">
        <v>3239</v>
      </c>
      <c r="K282" s="5">
        <f t="shared" si="25"/>
        <v>1748.6434381601614</v>
      </c>
      <c r="L282" s="5">
        <v>0</v>
      </c>
      <c r="M282" s="5">
        <v>0</v>
      </c>
      <c r="N282" s="4">
        <v>0</v>
      </c>
      <c r="O282" s="5">
        <f t="shared" si="26"/>
        <v>0</v>
      </c>
      <c r="P282" s="4">
        <v>0</v>
      </c>
      <c r="Q282" s="4">
        <v>0</v>
      </c>
      <c r="R282" s="4">
        <v>0</v>
      </c>
      <c r="S282" s="5">
        <f t="shared" si="27"/>
        <v>0</v>
      </c>
      <c r="T282" s="5">
        <f t="shared" si="28"/>
        <v>7.1092014934488015</v>
      </c>
      <c r="U282" s="5">
        <f t="shared" si="29"/>
        <v>0</v>
      </c>
      <c r="V282" s="4">
        <v>46</v>
      </c>
      <c r="W282" s="4">
        <v>-19</v>
      </c>
      <c r="X282" s="4">
        <v>30</v>
      </c>
      <c r="Y282" s="4">
        <v>46</v>
      </c>
      <c r="Z282" s="4">
        <v>0</v>
      </c>
      <c r="AA282" s="4">
        <v>0</v>
      </c>
      <c r="AB282" s="4">
        <v>0</v>
      </c>
      <c r="AC282" s="4">
        <v>0</v>
      </c>
      <c r="AD282" s="4"/>
      <c r="AE282" s="54">
        <v>-6.3109397888183594E-4</v>
      </c>
      <c r="AF282" s="54">
        <v>-0.58437919616699219</v>
      </c>
    </row>
    <row r="283" spans="1:32" x14ac:dyDescent="0.2">
      <c r="A283" s="53" t="s">
        <v>2188</v>
      </c>
      <c r="B283" s="53" t="s">
        <v>2190</v>
      </c>
      <c r="C283" s="54" t="s">
        <v>3027</v>
      </c>
      <c r="D283" s="20" t="s">
        <v>767</v>
      </c>
      <c r="E283" s="9" t="s">
        <v>769</v>
      </c>
      <c r="F283" s="4" t="s">
        <v>768</v>
      </c>
      <c r="G283" s="12" t="s">
        <v>22</v>
      </c>
      <c r="H283" s="4">
        <v>591</v>
      </c>
      <c r="I283" s="5">
        <f t="shared" si="24"/>
        <v>461.48476280385961</v>
      </c>
      <c r="J283" s="4">
        <v>2431</v>
      </c>
      <c r="K283" s="5">
        <f t="shared" si="25"/>
        <v>1312.4273535558359</v>
      </c>
      <c r="L283" s="5">
        <v>0</v>
      </c>
      <c r="M283" s="5">
        <v>0</v>
      </c>
      <c r="N283" s="4">
        <v>0</v>
      </c>
      <c r="O283" s="5">
        <f t="shared" si="26"/>
        <v>0</v>
      </c>
      <c r="P283" s="4">
        <v>0</v>
      </c>
      <c r="Q283" s="4">
        <v>0</v>
      </c>
      <c r="R283" s="4">
        <v>0</v>
      </c>
      <c r="S283" s="5">
        <f t="shared" si="27"/>
        <v>0</v>
      </c>
      <c r="T283" s="5">
        <f t="shared" si="28"/>
        <v>2.8439234820709438</v>
      </c>
      <c r="U283" s="5">
        <f t="shared" si="29"/>
        <v>0</v>
      </c>
      <c r="V283" s="4">
        <v>-1</v>
      </c>
      <c r="W283" s="4">
        <v>-45</v>
      </c>
      <c r="X283" s="4">
        <v>1</v>
      </c>
      <c r="Y283" s="4">
        <v>49</v>
      </c>
      <c r="Z283" s="4">
        <v>0</v>
      </c>
      <c r="AA283" s="4">
        <v>0</v>
      </c>
      <c r="AB283" s="4">
        <v>0</v>
      </c>
      <c r="AC283" s="4">
        <v>0</v>
      </c>
      <c r="AD283" s="4"/>
      <c r="AE283" s="54">
        <v>3.0741691589355469E-3</v>
      </c>
      <c r="AF283" s="54">
        <v>0.95134484767913818</v>
      </c>
    </row>
    <row r="284" spans="1:32" x14ac:dyDescent="0.2">
      <c r="A284" s="53" t="s">
        <v>2188</v>
      </c>
      <c r="B284" s="53" t="s">
        <v>2201</v>
      </c>
      <c r="C284" s="54" t="s">
        <v>3031</v>
      </c>
      <c r="D284" s="20" t="s">
        <v>785</v>
      </c>
      <c r="E284" s="9" t="s">
        <v>787</v>
      </c>
      <c r="F284" s="4" t="s">
        <v>786</v>
      </c>
      <c r="G284" s="4" t="s">
        <v>325</v>
      </c>
      <c r="H284" s="4">
        <v>592</v>
      </c>
      <c r="I284" s="5">
        <f t="shared" si="24"/>
        <v>462.26561688643807</v>
      </c>
      <c r="J284" s="4">
        <v>2101</v>
      </c>
      <c r="K284" s="5">
        <f t="shared" si="25"/>
        <v>1134.2697942496138</v>
      </c>
      <c r="L284" s="5">
        <v>0</v>
      </c>
      <c r="M284" s="5">
        <v>0</v>
      </c>
      <c r="N284" s="4">
        <v>0</v>
      </c>
      <c r="O284" s="5">
        <f t="shared" si="26"/>
        <v>0</v>
      </c>
      <c r="P284" s="4">
        <v>0</v>
      </c>
      <c r="Q284" s="4">
        <v>0</v>
      </c>
      <c r="R284" s="4">
        <v>0</v>
      </c>
      <c r="S284" s="5">
        <f t="shared" si="27"/>
        <v>0</v>
      </c>
      <c r="T284" s="5">
        <f t="shared" si="28"/>
        <v>2.4537187123918471</v>
      </c>
      <c r="U284" s="5">
        <f t="shared" si="29"/>
        <v>0</v>
      </c>
      <c r="V284" s="4">
        <v>34</v>
      </c>
      <c r="W284" s="4">
        <v>45</v>
      </c>
      <c r="X284" s="4">
        <v>15</v>
      </c>
      <c r="Y284" s="4">
        <v>-39</v>
      </c>
      <c r="Z284" s="4">
        <v>0</v>
      </c>
      <c r="AA284" s="4">
        <v>0</v>
      </c>
      <c r="AB284" s="4">
        <v>0</v>
      </c>
      <c r="AC284" s="4">
        <v>0</v>
      </c>
      <c r="AD284" s="4"/>
      <c r="AE284" s="54">
        <v>1.163482666015625E-4</v>
      </c>
      <c r="AF284" s="54">
        <v>0.30177533626556402</v>
      </c>
    </row>
    <row r="285" spans="1:32" x14ac:dyDescent="0.2">
      <c r="A285" s="53" t="s">
        <v>2188</v>
      </c>
      <c r="B285" s="53" t="s">
        <v>2200</v>
      </c>
      <c r="C285" s="54" t="s">
        <v>3032</v>
      </c>
      <c r="D285" s="20" t="s">
        <v>434</v>
      </c>
      <c r="E285" s="9" t="s">
        <v>436</v>
      </c>
      <c r="F285" s="4" t="s">
        <v>435</v>
      </c>
      <c r="G285" s="4" t="s">
        <v>321</v>
      </c>
      <c r="H285" s="4">
        <v>1940</v>
      </c>
      <c r="I285" s="5">
        <f t="shared" si="24"/>
        <v>1514.8569202021788</v>
      </c>
      <c r="J285" s="4">
        <v>5094</v>
      </c>
      <c r="K285" s="5">
        <f t="shared" si="25"/>
        <v>2750.1048700178644</v>
      </c>
      <c r="L285" s="5">
        <v>0</v>
      </c>
      <c r="M285" s="5">
        <v>0</v>
      </c>
      <c r="N285" s="4">
        <v>0</v>
      </c>
      <c r="O285" s="5">
        <f t="shared" si="26"/>
        <v>0</v>
      </c>
      <c r="P285" s="4">
        <v>0</v>
      </c>
      <c r="Q285" s="4">
        <v>0</v>
      </c>
      <c r="R285" s="4">
        <v>0</v>
      </c>
      <c r="S285" s="5">
        <f t="shared" si="27"/>
        <v>0</v>
      </c>
      <c r="T285" s="5">
        <f t="shared" si="28"/>
        <v>1.8154221915894371</v>
      </c>
      <c r="U285" s="5">
        <f t="shared" si="29"/>
        <v>0</v>
      </c>
      <c r="V285" s="4">
        <v>-24</v>
      </c>
      <c r="W285" s="4">
        <v>29</v>
      </c>
      <c r="X285" s="4">
        <v>37</v>
      </c>
      <c r="Y285" s="4">
        <v>29</v>
      </c>
      <c r="Z285" s="4">
        <v>0</v>
      </c>
      <c r="AA285" s="4">
        <v>0</v>
      </c>
      <c r="AB285" s="4">
        <v>0</v>
      </c>
      <c r="AC285" s="4">
        <v>0</v>
      </c>
      <c r="AD285" s="24"/>
      <c r="AE285" s="54">
        <v>-6.8521499633789062E-4</v>
      </c>
      <c r="AF285" s="54">
        <v>-0.60670804977416992</v>
      </c>
    </row>
    <row r="286" spans="1:32" x14ac:dyDescent="0.2">
      <c r="A286" s="53" t="s">
        <v>2188</v>
      </c>
      <c r="B286" s="53" t="s">
        <v>2199</v>
      </c>
      <c r="C286" s="54" t="s">
        <v>3033</v>
      </c>
      <c r="D286" s="20" t="s">
        <v>782</v>
      </c>
      <c r="E286" s="9" t="s">
        <v>784</v>
      </c>
      <c r="F286" s="4" t="s">
        <v>783</v>
      </c>
      <c r="G286" s="12" t="s">
        <v>22</v>
      </c>
      <c r="H286" s="4">
        <v>2355</v>
      </c>
      <c r="I286" s="5">
        <f t="shared" si="24"/>
        <v>1838.9113644722324</v>
      </c>
      <c r="J286" s="4">
        <v>3901</v>
      </c>
      <c r="K286" s="5">
        <f t="shared" si="25"/>
        <v>2106.0382995562795</v>
      </c>
      <c r="L286" s="5">
        <v>0</v>
      </c>
      <c r="M286" s="5">
        <v>0</v>
      </c>
      <c r="N286" s="4">
        <v>0</v>
      </c>
      <c r="O286" s="5">
        <f t="shared" si="26"/>
        <v>0</v>
      </c>
      <c r="P286" s="4">
        <v>0</v>
      </c>
      <c r="Q286" s="4">
        <v>0</v>
      </c>
      <c r="R286" s="4">
        <v>0</v>
      </c>
      <c r="S286" s="5">
        <f t="shared" si="27"/>
        <v>0</v>
      </c>
      <c r="T286" s="5">
        <f t="shared" si="28"/>
        <v>1.1452636272987049</v>
      </c>
      <c r="U286" s="5">
        <f t="shared" si="29"/>
        <v>0</v>
      </c>
      <c r="V286" s="4">
        <v>16</v>
      </c>
      <c r="W286" s="4">
        <v>-35</v>
      </c>
      <c r="X286" s="4">
        <v>0</v>
      </c>
      <c r="Y286" s="4">
        <v>-35</v>
      </c>
      <c r="Z286" s="4">
        <v>0</v>
      </c>
      <c r="AA286" s="4">
        <v>0</v>
      </c>
      <c r="AB286" s="4">
        <v>0</v>
      </c>
      <c r="AC286" s="4">
        <v>0</v>
      </c>
      <c r="AD286" s="4"/>
      <c r="AE286" s="54">
        <v>-1.000642776489258E-3</v>
      </c>
      <c r="AF286" s="54">
        <v>-0.71053868532180786</v>
      </c>
    </row>
    <row r="287" spans="1:32" x14ac:dyDescent="0.2">
      <c r="A287" s="53" t="s">
        <v>2188</v>
      </c>
      <c r="B287" s="53" t="s">
        <v>2198</v>
      </c>
      <c r="C287" s="54" t="s">
        <v>3034</v>
      </c>
      <c r="D287" s="20" t="s">
        <v>779</v>
      </c>
      <c r="E287" s="9" t="s">
        <v>781</v>
      </c>
      <c r="F287" s="4" t="s">
        <v>780</v>
      </c>
      <c r="G287" s="12" t="s">
        <v>22</v>
      </c>
      <c r="H287" s="4">
        <v>1731</v>
      </c>
      <c r="I287" s="5">
        <f t="shared" si="24"/>
        <v>1351.6584169432842</v>
      </c>
      <c r="J287" s="4">
        <v>2659</v>
      </c>
      <c r="K287" s="5">
        <f t="shared" si="25"/>
        <v>1435.5180308946804</v>
      </c>
      <c r="L287" s="5">
        <v>0</v>
      </c>
      <c r="M287" s="5">
        <v>0</v>
      </c>
      <c r="N287" s="4">
        <v>0</v>
      </c>
      <c r="O287" s="5">
        <f t="shared" si="26"/>
        <v>0</v>
      </c>
      <c r="P287" s="4">
        <v>0</v>
      </c>
      <c r="Q287" s="4">
        <v>0</v>
      </c>
      <c r="R287" s="4">
        <v>0</v>
      </c>
      <c r="S287" s="5">
        <f t="shared" si="27"/>
        <v>0</v>
      </c>
      <c r="T287" s="5">
        <f t="shared" si="28"/>
        <v>1.062042016607303</v>
      </c>
      <c r="U287" s="5">
        <f t="shared" si="29"/>
        <v>0</v>
      </c>
      <c r="V287" s="4">
        <v>-1</v>
      </c>
      <c r="W287" s="4">
        <v>18</v>
      </c>
      <c r="X287" s="4">
        <v>50</v>
      </c>
      <c r="Y287" s="4">
        <v>-14</v>
      </c>
      <c r="Z287" s="4">
        <v>0</v>
      </c>
      <c r="AA287" s="4">
        <v>0</v>
      </c>
      <c r="AB287" s="4">
        <v>0</v>
      </c>
      <c r="AC287" s="4">
        <v>0</v>
      </c>
      <c r="AD287" s="4"/>
      <c r="AE287" s="54">
        <v>-2.8085708618164062E-4</v>
      </c>
      <c r="AF287" s="54">
        <v>-0.42181968688964838</v>
      </c>
    </row>
    <row r="288" spans="1:32" x14ac:dyDescent="0.2">
      <c r="A288" s="53" t="s">
        <v>2188</v>
      </c>
      <c r="B288" s="53" t="s">
        <v>2203</v>
      </c>
      <c r="C288" s="54" t="s">
        <v>3036</v>
      </c>
      <c r="D288" s="20" t="s">
        <v>788</v>
      </c>
      <c r="E288" s="9" t="s">
        <v>790</v>
      </c>
      <c r="F288" s="4" t="s">
        <v>789</v>
      </c>
      <c r="G288" s="4" t="s">
        <v>321</v>
      </c>
      <c r="H288" s="4">
        <v>1041</v>
      </c>
      <c r="I288" s="5">
        <f t="shared" si="24"/>
        <v>812.86909996415886</v>
      </c>
      <c r="J288" s="4">
        <v>777</v>
      </c>
      <c r="K288" s="5">
        <f t="shared" si="25"/>
        <v>419.48007145737739</v>
      </c>
      <c r="L288" s="5">
        <v>0</v>
      </c>
      <c r="M288" s="5">
        <v>0</v>
      </c>
      <c r="N288" s="4">
        <v>0</v>
      </c>
      <c r="O288" s="5">
        <f t="shared" si="26"/>
        <v>0</v>
      </c>
      <c r="P288" s="4">
        <v>0</v>
      </c>
      <c r="Q288" s="4">
        <v>0</v>
      </c>
      <c r="R288" s="4">
        <v>0</v>
      </c>
      <c r="S288" s="5">
        <f t="shared" si="27"/>
        <v>0</v>
      </c>
      <c r="T288" s="5">
        <f t="shared" si="28"/>
        <v>0.51604873586149747</v>
      </c>
      <c r="U288" s="5">
        <f t="shared" si="29"/>
        <v>0</v>
      </c>
      <c r="V288" s="4">
        <v>25</v>
      </c>
      <c r="W288" s="4">
        <v>-18</v>
      </c>
      <c r="X288" s="4">
        <v>1</v>
      </c>
      <c r="Y288" s="4">
        <v>-2</v>
      </c>
      <c r="Z288" s="4">
        <v>0</v>
      </c>
      <c r="AA288" s="4">
        <v>0</v>
      </c>
      <c r="AB288" s="4">
        <v>0</v>
      </c>
      <c r="AC288" s="4">
        <v>0</v>
      </c>
      <c r="AD288" s="4"/>
      <c r="AE288" s="54">
        <v>-2.1592378616333011E-2</v>
      </c>
      <c r="AF288" s="54">
        <v>-0.99949449300765991</v>
      </c>
    </row>
    <row r="289" spans="1:32" x14ac:dyDescent="0.2">
      <c r="A289" s="53" t="s">
        <v>2188</v>
      </c>
      <c r="B289" s="53" t="s">
        <v>2202</v>
      </c>
      <c r="C289" s="54" t="s">
        <v>3037</v>
      </c>
      <c r="D289" s="20" t="s">
        <v>437</v>
      </c>
      <c r="E289" s="9" t="s">
        <v>439</v>
      </c>
      <c r="F289" s="4" t="s">
        <v>438</v>
      </c>
      <c r="G289" s="4" t="s">
        <v>321</v>
      </c>
      <c r="H289" s="4">
        <v>768</v>
      </c>
      <c r="I289" s="5">
        <f t="shared" si="24"/>
        <v>599.69593542024404</v>
      </c>
      <c r="J289" s="4">
        <v>995</v>
      </c>
      <c r="K289" s="5">
        <f t="shared" si="25"/>
        <v>537.17203487785139</v>
      </c>
      <c r="L289" s="5">
        <v>0</v>
      </c>
      <c r="M289" s="5">
        <v>0</v>
      </c>
      <c r="N289" s="4">
        <v>0</v>
      </c>
      <c r="O289" s="5">
        <f t="shared" si="26"/>
        <v>0</v>
      </c>
      <c r="P289" s="4">
        <v>0</v>
      </c>
      <c r="Q289" s="4">
        <v>0</v>
      </c>
      <c r="R289" s="4">
        <v>0</v>
      </c>
      <c r="S289" s="5">
        <f t="shared" si="27"/>
        <v>0</v>
      </c>
      <c r="T289" s="5">
        <f t="shared" si="28"/>
        <v>0.89574066314360079</v>
      </c>
      <c r="U289" s="5">
        <f t="shared" si="29"/>
        <v>0</v>
      </c>
      <c r="V289" s="4">
        <v>-41</v>
      </c>
      <c r="W289" s="4">
        <v>6</v>
      </c>
      <c r="X289" s="4">
        <v>-29</v>
      </c>
      <c r="Y289" s="4">
        <v>-8</v>
      </c>
      <c r="Z289" s="4">
        <v>0</v>
      </c>
      <c r="AA289" s="4">
        <v>0</v>
      </c>
      <c r="AB289" s="4">
        <v>0</v>
      </c>
      <c r="AC289" s="4">
        <v>0</v>
      </c>
      <c r="AD289" s="4"/>
      <c r="AE289" s="54">
        <v>-2.5098323822021481E-2</v>
      </c>
      <c r="AF289" s="54">
        <v>-0.99957966804504395</v>
      </c>
    </row>
    <row r="290" spans="1:32" x14ac:dyDescent="0.2">
      <c r="A290" s="53" t="s">
        <v>2188</v>
      </c>
      <c r="B290" s="53" t="s">
        <v>2206</v>
      </c>
      <c r="C290" s="54" t="s">
        <v>3038</v>
      </c>
      <c r="D290" s="20" t="s">
        <v>443</v>
      </c>
      <c r="E290" s="9" t="s">
        <v>445</v>
      </c>
      <c r="F290" s="4" t="s">
        <v>444</v>
      </c>
      <c r="G290" s="12" t="s">
        <v>22</v>
      </c>
      <c r="H290" s="4">
        <v>4509</v>
      </c>
      <c r="I290" s="5">
        <f t="shared" si="24"/>
        <v>3520.8710583461975</v>
      </c>
      <c r="J290" s="4">
        <v>429</v>
      </c>
      <c r="K290" s="5">
        <f t="shared" si="25"/>
        <v>231.60482709808869</v>
      </c>
      <c r="L290" s="5">
        <v>0</v>
      </c>
      <c r="M290" s="5">
        <v>0</v>
      </c>
      <c r="N290" s="4">
        <v>0</v>
      </c>
      <c r="O290" s="5">
        <f t="shared" si="26"/>
        <v>0</v>
      </c>
      <c r="P290" s="4">
        <v>0</v>
      </c>
      <c r="Q290" s="4">
        <v>0</v>
      </c>
      <c r="R290" s="4">
        <v>0</v>
      </c>
      <c r="S290" s="5">
        <f t="shared" si="27"/>
        <v>0</v>
      </c>
      <c r="T290" s="5">
        <f t="shared" si="28"/>
        <v>6.578054784172549E-2</v>
      </c>
      <c r="U290" s="5">
        <f t="shared" si="29"/>
        <v>0</v>
      </c>
      <c r="V290" s="4">
        <v>-5</v>
      </c>
      <c r="W290" s="4">
        <v>-50</v>
      </c>
      <c r="X290" s="4">
        <v>1</v>
      </c>
      <c r="Y290" s="4">
        <v>-8</v>
      </c>
      <c r="Z290" s="4">
        <v>0</v>
      </c>
      <c r="AA290" s="4">
        <v>0</v>
      </c>
      <c r="AB290" s="4">
        <v>0</v>
      </c>
      <c r="AC290" s="4">
        <v>0</v>
      </c>
      <c r="AD290" s="4"/>
      <c r="AE290" s="54">
        <v>1.7149448394775391E-3</v>
      </c>
      <c r="AF290" s="54">
        <v>0.84712618589401245</v>
      </c>
    </row>
    <row r="291" spans="1:32" x14ac:dyDescent="0.2">
      <c r="A291" s="53" t="s">
        <v>2188</v>
      </c>
      <c r="B291" s="53" t="s">
        <v>2205</v>
      </c>
      <c r="C291" s="54" t="s">
        <v>3039</v>
      </c>
      <c r="D291" s="20" t="s">
        <v>440</v>
      </c>
      <c r="E291" s="9" t="s">
        <v>442</v>
      </c>
      <c r="F291" s="4" t="s">
        <v>441</v>
      </c>
      <c r="G291" s="12" t="s">
        <v>22</v>
      </c>
      <c r="H291" s="4">
        <v>898</v>
      </c>
      <c r="I291" s="5">
        <f t="shared" si="24"/>
        <v>701.20696615544148</v>
      </c>
      <c r="J291" s="4">
        <v>2190</v>
      </c>
      <c r="K291" s="5">
        <f t="shared" si="25"/>
        <v>1182.3183481231101</v>
      </c>
      <c r="L291" s="5">
        <v>0</v>
      </c>
      <c r="M291" s="5">
        <v>0</v>
      </c>
      <c r="N291" s="4">
        <v>0</v>
      </c>
      <c r="O291" s="5">
        <f t="shared" si="26"/>
        <v>0</v>
      </c>
      <c r="P291" s="4">
        <v>0</v>
      </c>
      <c r="Q291" s="4">
        <v>0</v>
      </c>
      <c r="R291" s="4">
        <v>0</v>
      </c>
      <c r="S291" s="5">
        <f t="shared" si="27"/>
        <v>0</v>
      </c>
      <c r="T291" s="5">
        <f t="shared" si="28"/>
        <v>1.6861189423223975</v>
      </c>
      <c r="U291" s="5">
        <f t="shared" si="29"/>
        <v>0</v>
      </c>
      <c r="V291" s="4">
        <v>-9</v>
      </c>
      <c r="W291" s="4">
        <v>-40</v>
      </c>
      <c r="X291" s="4">
        <v>22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/>
      <c r="AE291" s="54">
        <v>-1.0063648223876951E-3</v>
      </c>
      <c r="AF291" s="54">
        <v>-0.71053868532180786</v>
      </c>
    </row>
    <row r="292" spans="1:32" x14ac:dyDescent="0.2">
      <c r="A292" s="53" t="s">
        <v>2188</v>
      </c>
      <c r="B292" s="53" t="s">
        <v>2207</v>
      </c>
      <c r="C292" s="54" t="s">
        <v>3041</v>
      </c>
      <c r="D292" s="20" t="s">
        <v>455</v>
      </c>
      <c r="E292" s="9" t="s">
        <v>457</v>
      </c>
      <c r="F292" s="4" t="s">
        <v>456</v>
      </c>
      <c r="G292" s="12" t="s">
        <v>22</v>
      </c>
      <c r="H292" s="4">
        <v>2643</v>
      </c>
      <c r="I292" s="5">
        <f t="shared" si="24"/>
        <v>2063.7973402548241</v>
      </c>
      <c r="J292" s="4">
        <v>4785</v>
      </c>
      <c r="K292" s="5">
        <f t="shared" si="25"/>
        <v>2583.2846099402204</v>
      </c>
      <c r="L292" s="5">
        <v>0</v>
      </c>
      <c r="M292" s="5">
        <v>0</v>
      </c>
      <c r="N292" s="4">
        <v>0</v>
      </c>
      <c r="O292" s="5">
        <f t="shared" si="26"/>
        <v>0</v>
      </c>
      <c r="P292" s="4">
        <v>0</v>
      </c>
      <c r="Q292" s="4">
        <v>0</v>
      </c>
      <c r="R292" s="4">
        <v>0</v>
      </c>
      <c r="S292" s="5">
        <f t="shared" si="27"/>
        <v>0</v>
      </c>
      <c r="T292" s="5">
        <f t="shared" si="28"/>
        <v>1.2517142839331568</v>
      </c>
      <c r="U292" s="5">
        <f t="shared" si="29"/>
        <v>0</v>
      </c>
      <c r="V292" s="4">
        <v>1</v>
      </c>
      <c r="W292" s="4">
        <v>24</v>
      </c>
      <c r="X292" s="4">
        <v>29</v>
      </c>
      <c r="Y292" s="4">
        <v>-22</v>
      </c>
      <c r="Z292" s="4">
        <v>0</v>
      </c>
      <c r="AA292" s="4">
        <v>0</v>
      </c>
      <c r="AB292" s="4">
        <v>0</v>
      </c>
      <c r="AC292" s="4">
        <v>0</v>
      </c>
      <c r="AD292" s="4"/>
      <c r="AE292" s="54">
        <v>-4.6682357788085938E-4</v>
      </c>
      <c r="AF292" s="54">
        <v>-0.52033525705337524</v>
      </c>
    </row>
    <row r="293" spans="1:32" x14ac:dyDescent="0.2">
      <c r="A293" s="53" t="s">
        <v>2188</v>
      </c>
      <c r="B293" s="53" t="s">
        <v>2204</v>
      </c>
      <c r="C293" s="54" t="s">
        <v>3042</v>
      </c>
      <c r="D293" s="20" t="s">
        <v>791</v>
      </c>
      <c r="E293" s="9" t="s">
        <v>793</v>
      </c>
      <c r="F293" s="4" t="s">
        <v>792</v>
      </c>
      <c r="G293" s="4" t="s">
        <v>335</v>
      </c>
      <c r="H293" s="4">
        <v>1140</v>
      </c>
      <c r="I293" s="5">
        <f t="shared" si="24"/>
        <v>890.17365413942468</v>
      </c>
      <c r="J293" s="4">
        <v>3499</v>
      </c>
      <c r="K293" s="5">
        <f t="shared" si="25"/>
        <v>1889.0100000377909</v>
      </c>
      <c r="L293" s="5">
        <v>0</v>
      </c>
      <c r="M293" s="5">
        <v>0</v>
      </c>
      <c r="N293" s="4">
        <v>0</v>
      </c>
      <c r="O293" s="5">
        <f t="shared" si="26"/>
        <v>0</v>
      </c>
      <c r="P293" s="4">
        <v>0</v>
      </c>
      <c r="Q293" s="4">
        <v>0</v>
      </c>
      <c r="R293" s="4">
        <v>0</v>
      </c>
      <c r="S293" s="5">
        <f t="shared" si="27"/>
        <v>0</v>
      </c>
      <c r="T293" s="5">
        <f t="shared" si="28"/>
        <v>2.1220690943319269</v>
      </c>
      <c r="U293" s="5">
        <f t="shared" si="29"/>
        <v>0</v>
      </c>
      <c r="V293" s="4">
        <v>18</v>
      </c>
      <c r="W293" s="4">
        <v>-25</v>
      </c>
      <c r="X293" s="4">
        <v>-38</v>
      </c>
      <c r="Y293" s="4">
        <v>-9</v>
      </c>
      <c r="Z293" s="4">
        <v>0</v>
      </c>
      <c r="AA293" s="4">
        <v>0</v>
      </c>
      <c r="AB293" s="4">
        <v>0</v>
      </c>
      <c r="AC293" s="4">
        <v>0</v>
      </c>
      <c r="AD293" s="4"/>
      <c r="AE293" s="54">
        <v>1.750707626342773E-3</v>
      </c>
      <c r="AF293" s="54">
        <v>0.8535151481628418</v>
      </c>
    </row>
    <row r="294" spans="1:32" x14ac:dyDescent="0.2">
      <c r="A294" s="53" t="s">
        <v>2188</v>
      </c>
      <c r="B294" s="53" t="s">
        <v>2213</v>
      </c>
      <c r="C294" s="54" t="s">
        <v>3044</v>
      </c>
      <c r="D294" s="20" t="s">
        <v>467</v>
      </c>
      <c r="E294" s="9" t="s">
        <v>469</v>
      </c>
      <c r="F294" s="4" t="s">
        <v>468</v>
      </c>
      <c r="G294" s="12" t="s">
        <v>22</v>
      </c>
      <c r="H294" s="4">
        <v>48246</v>
      </c>
      <c r="I294" s="5">
        <f t="shared" si="24"/>
        <v>37673.086068079545</v>
      </c>
      <c r="J294" s="4">
        <v>4085</v>
      </c>
      <c r="K294" s="5">
        <f t="shared" si="25"/>
        <v>2205.3746356542943</v>
      </c>
      <c r="L294" s="5">
        <v>0</v>
      </c>
      <c r="M294" s="5">
        <v>0</v>
      </c>
      <c r="N294" s="4">
        <v>0</v>
      </c>
      <c r="O294" s="5">
        <f t="shared" si="26"/>
        <v>0</v>
      </c>
      <c r="P294" s="4">
        <v>0</v>
      </c>
      <c r="Q294" s="4">
        <v>0</v>
      </c>
      <c r="R294" s="4">
        <v>0</v>
      </c>
      <c r="S294" s="5">
        <f t="shared" si="27"/>
        <v>0</v>
      </c>
      <c r="T294" s="5">
        <f t="shared" si="28"/>
        <v>5.8539792351200853E-2</v>
      </c>
      <c r="U294" s="5">
        <f t="shared" si="29"/>
        <v>0</v>
      </c>
      <c r="V294" s="4">
        <v>50</v>
      </c>
      <c r="W294" s="4">
        <v>-31</v>
      </c>
      <c r="X294" s="4">
        <v>-34</v>
      </c>
      <c r="Y294" s="4">
        <v>27</v>
      </c>
      <c r="Z294" s="4">
        <v>0</v>
      </c>
      <c r="AA294" s="4">
        <v>0</v>
      </c>
      <c r="AB294" s="4">
        <v>0</v>
      </c>
      <c r="AC294" s="4">
        <v>0</v>
      </c>
      <c r="AD294" s="4"/>
      <c r="AE294" s="54">
        <v>-3.0493736267089838E-4</v>
      </c>
      <c r="AF294" s="54">
        <v>-0.43125671148300171</v>
      </c>
    </row>
    <row r="295" spans="1:32" x14ac:dyDescent="0.2">
      <c r="A295" s="53" t="s">
        <v>2188</v>
      </c>
      <c r="B295" s="53" t="s">
        <v>2196</v>
      </c>
      <c r="C295" s="54" t="s">
        <v>3046</v>
      </c>
      <c r="D295" s="20" t="s">
        <v>431</v>
      </c>
      <c r="E295" s="9" t="s">
        <v>433</v>
      </c>
      <c r="F295" s="4" t="s">
        <v>432</v>
      </c>
      <c r="G295" s="12" t="s">
        <v>22</v>
      </c>
      <c r="H295" s="4">
        <v>1795</v>
      </c>
      <c r="I295" s="5">
        <f t="shared" si="24"/>
        <v>1401.6330782283044</v>
      </c>
      <c r="J295" s="4">
        <v>790</v>
      </c>
      <c r="K295" s="5">
        <f t="shared" si="25"/>
        <v>426.4983995512589</v>
      </c>
      <c r="L295" s="5">
        <v>0</v>
      </c>
      <c r="M295" s="5">
        <v>0</v>
      </c>
      <c r="N295" s="4">
        <v>0</v>
      </c>
      <c r="O295" s="5">
        <f t="shared" si="26"/>
        <v>0</v>
      </c>
      <c r="P295" s="4">
        <v>0</v>
      </c>
      <c r="Q295" s="4">
        <v>0</v>
      </c>
      <c r="R295" s="4">
        <v>0</v>
      </c>
      <c r="S295" s="5">
        <f t="shared" si="27"/>
        <v>0</v>
      </c>
      <c r="T295" s="5">
        <f t="shared" si="28"/>
        <v>0.30428676818212824</v>
      </c>
      <c r="U295" s="5">
        <f t="shared" si="29"/>
        <v>0</v>
      </c>
      <c r="V295" s="4">
        <v>-9</v>
      </c>
      <c r="W295" s="4">
        <v>22</v>
      </c>
      <c r="X295" s="4">
        <v>-9</v>
      </c>
      <c r="Y295" s="4">
        <v>1</v>
      </c>
      <c r="Z295" s="4">
        <v>0</v>
      </c>
      <c r="AA295" s="4">
        <v>0</v>
      </c>
      <c r="AB295" s="4">
        <v>0</v>
      </c>
      <c r="AC295" s="4">
        <v>0</v>
      </c>
      <c r="AD295" s="4"/>
      <c r="AE295" s="54">
        <v>-2.0384788513183591E-4</v>
      </c>
      <c r="AF295" s="54">
        <v>-0.36330443620681763</v>
      </c>
    </row>
    <row r="296" spans="1:32" x14ac:dyDescent="0.2">
      <c r="A296" s="53" t="s">
        <v>2188</v>
      </c>
      <c r="B296" s="53" t="s">
        <v>2195</v>
      </c>
      <c r="C296" s="54" t="s">
        <v>3047</v>
      </c>
      <c r="D296" s="20" t="s">
        <v>773</v>
      </c>
      <c r="E296" s="9" t="s">
        <v>775</v>
      </c>
      <c r="F296" s="4" t="s">
        <v>774</v>
      </c>
      <c r="G296" s="12" t="s">
        <v>22</v>
      </c>
      <c r="H296" s="4">
        <v>1658</v>
      </c>
      <c r="I296" s="5">
        <f t="shared" si="24"/>
        <v>1294.6560689150579</v>
      </c>
      <c r="J296" s="4">
        <v>5130</v>
      </c>
      <c r="K296" s="5">
        <f t="shared" si="25"/>
        <v>2769.5402401239976</v>
      </c>
      <c r="L296" s="5">
        <v>0</v>
      </c>
      <c r="M296" s="5">
        <v>0</v>
      </c>
      <c r="N296" s="4">
        <v>0</v>
      </c>
      <c r="O296" s="5">
        <f t="shared" si="26"/>
        <v>0</v>
      </c>
      <c r="P296" s="4">
        <v>0</v>
      </c>
      <c r="Q296" s="4">
        <v>0</v>
      </c>
      <c r="R296" s="4">
        <v>0</v>
      </c>
      <c r="S296" s="5">
        <f t="shared" si="27"/>
        <v>0</v>
      </c>
      <c r="T296" s="5">
        <f t="shared" si="28"/>
        <v>2.1392092514924954</v>
      </c>
      <c r="U296" s="5">
        <f t="shared" si="29"/>
        <v>0</v>
      </c>
      <c r="V296" s="4">
        <v>-10</v>
      </c>
      <c r="W296" s="4">
        <v>49</v>
      </c>
      <c r="X296" s="4">
        <v>31</v>
      </c>
      <c r="Y296" s="4">
        <v>49</v>
      </c>
      <c r="Z296" s="4">
        <v>0</v>
      </c>
      <c r="AA296" s="4">
        <v>0</v>
      </c>
      <c r="AB296" s="4">
        <v>0</v>
      </c>
      <c r="AC296" s="4">
        <v>0</v>
      </c>
      <c r="AD296" s="4"/>
      <c r="AE296" s="54">
        <v>2.029180526733398E-3</v>
      </c>
      <c r="AF296" s="54">
        <v>0.88445228338241577</v>
      </c>
    </row>
    <row r="297" spans="1:32" x14ac:dyDescent="0.2">
      <c r="A297" s="53" t="s">
        <v>2188</v>
      </c>
      <c r="B297" s="53" t="s">
        <v>2192</v>
      </c>
      <c r="C297" s="54" t="s">
        <v>3048</v>
      </c>
      <c r="D297" s="20" t="s">
        <v>770</v>
      </c>
      <c r="E297" s="9" t="s">
        <v>772</v>
      </c>
      <c r="F297" s="4" t="s">
        <v>771</v>
      </c>
      <c r="G297" s="12" t="s">
        <v>22</v>
      </c>
      <c r="H297" s="4">
        <v>1477</v>
      </c>
      <c r="I297" s="5">
        <f t="shared" si="24"/>
        <v>1153.3214799683599</v>
      </c>
      <c r="J297" s="4">
        <v>2688</v>
      </c>
      <c r="K297" s="5">
        <f t="shared" si="25"/>
        <v>1451.1743012579543</v>
      </c>
      <c r="L297" s="5">
        <v>0</v>
      </c>
      <c r="M297" s="5">
        <v>0</v>
      </c>
      <c r="N297" s="4">
        <v>0</v>
      </c>
      <c r="O297" s="5">
        <f t="shared" si="26"/>
        <v>0</v>
      </c>
      <c r="P297" s="4">
        <v>0</v>
      </c>
      <c r="Q297" s="4">
        <v>0</v>
      </c>
      <c r="R297" s="4">
        <v>0</v>
      </c>
      <c r="S297" s="5">
        <f t="shared" si="27"/>
        <v>0</v>
      </c>
      <c r="T297" s="5">
        <f t="shared" si="28"/>
        <v>1.2582565455190913</v>
      </c>
      <c r="U297" s="5">
        <f t="shared" si="29"/>
        <v>0</v>
      </c>
      <c r="V297" s="4">
        <v>-2</v>
      </c>
      <c r="W297" s="4">
        <v>-42</v>
      </c>
      <c r="X297" s="4">
        <v>12</v>
      </c>
      <c r="Y297" s="4">
        <v>-4</v>
      </c>
      <c r="Z297" s="4">
        <v>0</v>
      </c>
      <c r="AA297" s="4">
        <v>0</v>
      </c>
      <c r="AB297" s="4">
        <v>0</v>
      </c>
      <c r="AC297" s="4">
        <v>0</v>
      </c>
      <c r="AD297" s="4"/>
      <c r="AE297" s="54">
        <v>4.5537948608398438E-5</v>
      </c>
      <c r="AF297" s="54">
        <v>0.21573995053768161</v>
      </c>
    </row>
    <row r="298" spans="1:32" x14ac:dyDescent="0.2">
      <c r="A298" s="53" t="s">
        <v>2188</v>
      </c>
      <c r="B298" s="53" t="s">
        <v>2209</v>
      </c>
      <c r="C298" s="54" t="s">
        <v>3049</v>
      </c>
      <c r="D298" s="20" t="s">
        <v>458</v>
      </c>
      <c r="E298" s="9" t="s">
        <v>460</v>
      </c>
      <c r="F298" s="4" t="s">
        <v>459</v>
      </c>
      <c r="G298" s="12" t="s">
        <v>22</v>
      </c>
      <c r="H298" s="4">
        <v>2278</v>
      </c>
      <c r="I298" s="5">
        <f t="shared" si="24"/>
        <v>1778.7856001136925</v>
      </c>
      <c r="J298" s="4">
        <v>544</v>
      </c>
      <c r="K298" s="5">
        <f t="shared" si="25"/>
        <v>293.69003715934792</v>
      </c>
      <c r="L298" s="5">
        <v>0</v>
      </c>
      <c r="M298" s="5">
        <v>0</v>
      </c>
      <c r="N298" s="4">
        <v>0</v>
      </c>
      <c r="O298" s="5">
        <f t="shared" si="26"/>
        <v>0</v>
      </c>
      <c r="P298" s="4">
        <v>0</v>
      </c>
      <c r="Q298" s="4">
        <v>0</v>
      </c>
      <c r="R298" s="4">
        <v>0</v>
      </c>
      <c r="S298" s="5">
        <f t="shared" si="27"/>
        <v>0</v>
      </c>
      <c r="T298" s="5">
        <f t="shared" si="28"/>
        <v>0.16510704670679618</v>
      </c>
      <c r="U298" s="5">
        <f t="shared" si="29"/>
        <v>0</v>
      </c>
      <c r="V298" s="4">
        <v>11</v>
      </c>
      <c r="W298" s="4">
        <v>27</v>
      </c>
      <c r="X298" s="4">
        <v>11</v>
      </c>
      <c r="Y298" s="4">
        <v>2</v>
      </c>
      <c r="Z298" s="4">
        <v>0</v>
      </c>
      <c r="AA298" s="4">
        <v>0</v>
      </c>
      <c r="AB298" s="4">
        <v>0</v>
      </c>
      <c r="AC298" s="4">
        <v>0</v>
      </c>
      <c r="AD298" s="4"/>
      <c r="AE298" s="54">
        <v>-7.114410400390625E-4</v>
      </c>
      <c r="AF298" s="54">
        <v>-0.62108355760574341</v>
      </c>
    </row>
    <row r="299" spans="1:32" x14ac:dyDescent="0.2">
      <c r="A299" s="53" t="s">
        <v>2188</v>
      </c>
      <c r="B299" s="53" t="s">
        <v>2211</v>
      </c>
      <c r="C299" s="54" t="s">
        <v>3050</v>
      </c>
      <c r="D299" s="20" t="s">
        <v>464</v>
      </c>
      <c r="E299" s="9" t="s">
        <v>466</v>
      </c>
      <c r="F299" s="4" t="s">
        <v>465</v>
      </c>
      <c r="G299" s="21" t="s">
        <v>355</v>
      </c>
      <c r="H299" s="4">
        <v>24824</v>
      </c>
      <c r="I299" s="5">
        <f t="shared" si="24"/>
        <v>19383.921745927259</v>
      </c>
      <c r="J299" s="4">
        <v>1989</v>
      </c>
      <c r="K299" s="5">
        <f t="shared" si="25"/>
        <v>1073.8041983638657</v>
      </c>
      <c r="L299" s="5">
        <v>0</v>
      </c>
      <c r="M299" s="5">
        <v>0</v>
      </c>
      <c r="N299" s="4">
        <v>0</v>
      </c>
      <c r="O299" s="5">
        <f t="shared" si="26"/>
        <v>0</v>
      </c>
      <c r="P299" s="4">
        <v>0</v>
      </c>
      <c r="Q299" s="4">
        <v>0</v>
      </c>
      <c r="R299" s="4">
        <v>0</v>
      </c>
      <c r="S299" s="5">
        <f t="shared" si="27"/>
        <v>0</v>
      </c>
      <c r="T299" s="5">
        <f t="shared" si="28"/>
        <v>5.5396643281924202E-2</v>
      </c>
      <c r="U299" s="5">
        <f t="shared" si="29"/>
        <v>0</v>
      </c>
      <c r="V299" s="4">
        <v>-31</v>
      </c>
      <c r="W299" s="4">
        <v>-14</v>
      </c>
      <c r="X299" s="4">
        <v>33</v>
      </c>
      <c r="Y299" s="4">
        <v>-2</v>
      </c>
      <c r="Z299" s="4">
        <v>0</v>
      </c>
      <c r="AA299" s="4">
        <v>0</v>
      </c>
      <c r="AB299" s="4">
        <v>0</v>
      </c>
      <c r="AC299" s="4">
        <v>0</v>
      </c>
      <c r="AD299" s="4"/>
      <c r="AE299" s="54">
        <v>1.055026054382324E-2</v>
      </c>
      <c r="AF299" s="54">
        <v>0.998668372631073</v>
      </c>
    </row>
    <row r="300" spans="1:32" x14ac:dyDescent="0.2">
      <c r="A300" s="53" t="s">
        <v>2188</v>
      </c>
      <c r="B300" s="53" t="s">
        <v>2210</v>
      </c>
      <c r="C300" s="54" t="s">
        <v>3051</v>
      </c>
      <c r="D300" s="20" t="s">
        <v>461</v>
      </c>
      <c r="E300" s="9" t="s">
        <v>463</v>
      </c>
      <c r="F300" s="4" t="s">
        <v>462</v>
      </c>
      <c r="G300" s="4" t="s">
        <v>351</v>
      </c>
      <c r="H300" s="4">
        <v>61950</v>
      </c>
      <c r="I300" s="5">
        <f t="shared" si="24"/>
        <v>48373.910415734521</v>
      </c>
      <c r="J300" s="4">
        <v>1531</v>
      </c>
      <c r="K300" s="5">
        <f t="shared" si="25"/>
        <v>826.54310090250306</v>
      </c>
      <c r="L300" s="5">
        <v>0</v>
      </c>
      <c r="M300" s="5">
        <v>0</v>
      </c>
      <c r="N300" s="4">
        <v>0</v>
      </c>
      <c r="O300" s="5">
        <f t="shared" si="26"/>
        <v>0</v>
      </c>
      <c r="P300" s="4">
        <v>0</v>
      </c>
      <c r="Q300" s="4">
        <v>0</v>
      </c>
      <c r="R300" s="4">
        <v>0</v>
      </c>
      <c r="S300" s="5">
        <f t="shared" si="27"/>
        <v>0</v>
      </c>
      <c r="T300" s="5">
        <f t="shared" si="28"/>
        <v>1.7086547144918317E-2</v>
      </c>
      <c r="U300" s="5">
        <f t="shared" si="29"/>
        <v>0</v>
      </c>
      <c r="V300" s="4">
        <v>-29</v>
      </c>
      <c r="W300" s="4">
        <v>-4</v>
      </c>
      <c r="X300" s="4">
        <v>-29</v>
      </c>
      <c r="Y300" s="4">
        <v>-2</v>
      </c>
      <c r="Z300" s="4">
        <v>0</v>
      </c>
      <c r="AA300" s="4">
        <v>0</v>
      </c>
      <c r="AB300" s="4">
        <v>0</v>
      </c>
      <c r="AC300" s="4">
        <v>0</v>
      </c>
      <c r="AD300" s="4"/>
      <c r="AE300" s="54">
        <v>-4.5669078826904297E-3</v>
      </c>
      <c r="AF300" s="54">
        <v>-0.98365819454193115</v>
      </c>
    </row>
    <row r="301" spans="1:32" x14ac:dyDescent="0.2">
      <c r="A301" s="53" t="s">
        <v>2188</v>
      </c>
      <c r="B301" s="53" t="s">
        <v>2214</v>
      </c>
      <c r="C301" s="54" t="s">
        <v>3052</v>
      </c>
      <c r="D301" s="20" t="s">
        <v>470</v>
      </c>
      <c r="E301" s="9" t="s">
        <v>472</v>
      </c>
      <c r="F301" s="4" t="s">
        <v>471</v>
      </c>
      <c r="G301" s="12" t="s">
        <v>22</v>
      </c>
      <c r="H301" s="4">
        <v>2709</v>
      </c>
      <c r="I301" s="5">
        <f t="shared" si="24"/>
        <v>2115.3337097050012</v>
      </c>
      <c r="J301" s="4">
        <v>4619</v>
      </c>
      <c r="K301" s="5">
        <f t="shared" si="25"/>
        <v>2493.6659588952721</v>
      </c>
      <c r="L301" s="5">
        <v>0</v>
      </c>
      <c r="M301" s="5">
        <v>0</v>
      </c>
      <c r="N301" s="4">
        <v>0</v>
      </c>
      <c r="O301" s="5">
        <f t="shared" si="26"/>
        <v>0</v>
      </c>
      <c r="P301" s="4">
        <v>0</v>
      </c>
      <c r="Q301" s="4">
        <v>0</v>
      </c>
      <c r="R301" s="4">
        <v>0</v>
      </c>
      <c r="S301" s="5">
        <f t="shared" si="27"/>
        <v>0</v>
      </c>
      <c r="T301" s="5">
        <f t="shared" si="28"/>
        <v>1.1788522763356484</v>
      </c>
      <c r="U301" s="5">
        <f t="shared" si="29"/>
        <v>0</v>
      </c>
      <c r="V301" s="4">
        <v>49</v>
      </c>
      <c r="W301" s="4">
        <v>39</v>
      </c>
      <c r="X301" s="4">
        <v>-23</v>
      </c>
      <c r="Y301" s="4">
        <v>-10</v>
      </c>
      <c r="Z301" s="4">
        <v>0</v>
      </c>
      <c r="AA301" s="4">
        <v>0</v>
      </c>
      <c r="AB301" s="4">
        <v>0</v>
      </c>
      <c r="AC301" s="4">
        <v>0</v>
      </c>
      <c r="AD301" s="4"/>
      <c r="AE301" s="54">
        <v>5.7935714721679688E-4</v>
      </c>
      <c r="AF301" s="54">
        <v>0.57673150300979614</v>
      </c>
    </row>
    <row r="302" spans="1:32" x14ac:dyDescent="0.2">
      <c r="A302" s="53" t="s">
        <v>2188</v>
      </c>
      <c r="B302" s="53" t="s">
        <v>2215</v>
      </c>
      <c r="C302" s="54" t="s">
        <v>3053</v>
      </c>
      <c r="D302" s="20" t="s">
        <v>797</v>
      </c>
      <c r="E302" s="9" t="s">
        <v>799</v>
      </c>
      <c r="F302" s="4" t="s">
        <v>798</v>
      </c>
      <c r="G302" s="22" t="s">
        <v>365</v>
      </c>
      <c r="H302" s="4">
        <v>496</v>
      </c>
      <c r="I302" s="5">
        <f t="shared" si="24"/>
        <v>387.30362495890756</v>
      </c>
      <c r="J302" s="4">
        <v>1571</v>
      </c>
      <c r="K302" s="5">
        <f t="shared" si="25"/>
        <v>848.13795657598439</v>
      </c>
      <c r="L302" s="5">
        <v>0</v>
      </c>
      <c r="M302" s="5">
        <v>0</v>
      </c>
      <c r="N302" s="4">
        <v>0</v>
      </c>
      <c r="O302" s="5">
        <f t="shared" si="26"/>
        <v>0</v>
      </c>
      <c r="P302" s="4">
        <v>0</v>
      </c>
      <c r="Q302" s="4">
        <v>0</v>
      </c>
      <c r="R302" s="4">
        <v>0</v>
      </c>
      <c r="S302" s="5">
        <f t="shared" si="27"/>
        <v>0</v>
      </c>
      <c r="T302" s="5">
        <f t="shared" si="28"/>
        <v>2.1898528749013666</v>
      </c>
      <c r="U302" s="5">
        <f t="shared" si="29"/>
        <v>0</v>
      </c>
      <c r="V302" s="4">
        <v>21</v>
      </c>
      <c r="W302" s="4">
        <v>-1</v>
      </c>
      <c r="X302" s="4">
        <v>4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/>
      <c r="AE302" s="54">
        <v>7.5197219848632812E-4</v>
      </c>
      <c r="AF302" s="54">
        <v>0.64188623428344727</v>
      </c>
    </row>
    <row r="303" spans="1:32" x14ac:dyDescent="0.2">
      <c r="A303" s="53" t="s">
        <v>2217</v>
      </c>
      <c r="B303" s="53" t="s">
        <v>2218</v>
      </c>
      <c r="C303" s="54" t="s">
        <v>3055</v>
      </c>
      <c r="D303" s="13" t="s">
        <v>1546</v>
      </c>
      <c r="E303" s="4" t="s">
        <v>1548</v>
      </c>
      <c r="F303" s="4" t="s">
        <v>1547</v>
      </c>
      <c r="G303" s="12" t="s">
        <v>22</v>
      </c>
      <c r="H303" s="4">
        <v>1261</v>
      </c>
      <c r="I303" s="5">
        <f t="shared" si="24"/>
        <v>984.65699813141623</v>
      </c>
      <c r="J303" s="4">
        <v>425</v>
      </c>
      <c r="K303" s="5">
        <f t="shared" si="25"/>
        <v>229.44534153074054</v>
      </c>
      <c r="L303" s="5">
        <v>0</v>
      </c>
      <c r="M303" s="5">
        <v>0</v>
      </c>
      <c r="N303" s="4">
        <v>0</v>
      </c>
      <c r="O303" s="5">
        <f t="shared" si="26"/>
        <v>0</v>
      </c>
      <c r="P303" s="4">
        <v>0</v>
      </c>
      <c r="Q303" s="4">
        <v>0</v>
      </c>
      <c r="R303" s="4">
        <v>0</v>
      </c>
      <c r="S303" s="5">
        <f t="shared" si="27"/>
        <v>0</v>
      </c>
      <c r="T303" s="5">
        <f t="shared" si="28"/>
        <v>0.23302057667406925</v>
      </c>
      <c r="U303" s="5">
        <f t="shared" si="29"/>
        <v>0</v>
      </c>
      <c r="V303" s="4">
        <v>1</v>
      </c>
      <c r="W303" s="4">
        <v>-31</v>
      </c>
      <c r="X303" s="4">
        <v>1</v>
      </c>
      <c r="Y303" s="4">
        <v>-7</v>
      </c>
      <c r="Z303" s="4">
        <v>0</v>
      </c>
      <c r="AA303" s="4">
        <v>0</v>
      </c>
      <c r="AB303" s="4">
        <v>0</v>
      </c>
      <c r="AC303" s="4">
        <v>0</v>
      </c>
      <c r="AD303" s="4"/>
      <c r="AE303" s="54"/>
      <c r="AF303" s="54"/>
    </row>
    <row r="304" spans="1:32" x14ac:dyDescent="0.2">
      <c r="A304" s="53" t="s">
        <v>2217</v>
      </c>
      <c r="B304" s="53" t="s">
        <v>2216</v>
      </c>
      <c r="C304" s="54" t="s">
        <v>3056</v>
      </c>
      <c r="D304" s="13" t="s">
        <v>1543</v>
      </c>
      <c r="E304" s="4" t="s">
        <v>1545</v>
      </c>
      <c r="F304" s="4" t="s">
        <v>1544</v>
      </c>
      <c r="G304" s="12" t="s">
        <v>22</v>
      </c>
      <c r="H304" s="4">
        <v>111</v>
      </c>
      <c r="I304" s="5">
        <f t="shared" si="24"/>
        <v>86.674803166207127</v>
      </c>
      <c r="J304" s="4">
        <v>2078</v>
      </c>
      <c r="K304" s="5">
        <f t="shared" si="25"/>
        <v>1121.852752237362</v>
      </c>
      <c r="L304" s="5">
        <v>0</v>
      </c>
      <c r="M304" s="5">
        <v>0</v>
      </c>
      <c r="N304" s="4">
        <v>0</v>
      </c>
      <c r="O304" s="5">
        <f t="shared" si="26"/>
        <v>0</v>
      </c>
      <c r="P304" s="4">
        <v>0</v>
      </c>
      <c r="Q304" s="4">
        <v>0</v>
      </c>
      <c r="R304" s="4">
        <v>0</v>
      </c>
      <c r="S304" s="5">
        <f t="shared" si="27"/>
        <v>0</v>
      </c>
      <c r="T304" s="5">
        <f t="shared" si="28"/>
        <v>12.943239687387617</v>
      </c>
      <c r="U304" s="5">
        <f t="shared" si="29"/>
        <v>0</v>
      </c>
      <c r="V304" s="4">
        <v>-20</v>
      </c>
      <c r="W304" s="4">
        <v>15</v>
      </c>
      <c r="X304" s="4">
        <v>-20</v>
      </c>
      <c r="Y304" s="4">
        <v>-29</v>
      </c>
      <c r="Z304" s="4">
        <v>0</v>
      </c>
      <c r="AA304" s="4">
        <v>0</v>
      </c>
      <c r="AB304" s="4">
        <v>0</v>
      </c>
      <c r="AC304" s="4">
        <v>0</v>
      </c>
      <c r="AD304" s="4"/>
      <c r="AE304" s="54">
        <v>-2.0635247230529789E-2</v>
      </c>
      <c r="AF304" s="54">
        <v>-0.99945825338363647</v>
      </c>
    </row>
    <row r="305" spans="1:32" x14ac:dyDescent="0.2">
      <c r="A305" s="53" t="s">
        <v>2217</v>
      </c>
      <c r="B305" s="53" t="s">
        <v>2220</v>
      </c>
      <c r="C305" s="54" t="s">
        <v>3057</v>
      </c>
      <c r="D305" s="13" t="s">
        <v>1555</v>
      </c>
      <c r="E305" s="4" t="s">
        <v>1557</v>
      </c>
      <c r="F305" s="4" t="s">
        <v>1556</v>
      </c>
      <c r="G305" s="12" t="s">
        <v>22</v>
      </c>
      <c r="H305" s="4">
        <v>88</v>
      </c>
      <c r="I305" s="5">
        <f t="shared" si="24"/>
        <v>68.715159266902958</v>
      </c>
      <c r="J305" s="4">
        <v>3922</v>
      </c>
      <c r="K305" s="5">
        <f t="shared" si="25"/>
        <v>2117.3755987848576</v>
      </c>
      <c r="L305" s="5">
        <v>0</v>
      </c>
      <c r="M305" s="5">
        <v>0</v>
      </c>
      <c r="N305" s="4">
        <v>0</v>
      </c>
      <c r="O305" s="5">
        <f t="shared" si="26"/>
        <v>0</v>
      </c>
      <c r="P305" s="4">
        <v>0</v>
      </c>
      <c r="Q305" s="4">
        <v>0</v>
      </c>
      <c r="R305" s="4">
        <v>0</v>
      </c>
      <c r="S305" s="5">
        <f t="shared" si="27"/>
        <v>0</v>
      </c>
      <c r="T305" s="5">
        <f t="shared" si="28"/>
        <v>30.813806172820783</v>
      </c>
      <c r="U305" s="5">
        <f t="shared" si="29"/>
        <v>0</v>
      </c>
      <c r="V305" s="4">
        <v>-1</v>
      </c>
      <c r="W305" s="4">
        <v>-2</v>
      </c>
      <c r="X305" s="4">
        <v>-1</v>
      </c>
      <c r="Y305" s="4">
        <v>-2</v>
      </c>
      <c r="Z305" s="4">
        <v>0</v>
      </c>
      <c r="AA305" s="4">
        <v>0</v>
      </c>
      <c r="AB305" s="4">
        <v>0</v>
      </c>
      <c r="AC305" s="4">
        <v>0</v>
      </c>
      <c r="AD305" s="4"/>
      <c r="AE305" s="54">
        <v>4.5692920684814448E-4</v>
      </c>
      <c r="AF305" s="54">
        <v>0.52033525705337524</v>
      </c>
    </row>
    <row r="306" spans="1:32" x14ac:dyDescent="0.2">
      <c r="A306" s="53" t="s">
        <v>2183</v>
      </c>
      <c r="B306" s="53" t="s">
        <v>2182</v>
      </c>
      <c r="C306" s="54" t="s">
        <v>3062</v>
      </c>
      <c r="D306" s="13" t="s">
        <v>1846</v>
      </c>
      <c r="E306" s="4" t="s">
        <v>1848</v>
      </c>
      <c r="F306" s="4" t="s">
        <v>1847</v>
      </c>
      <c r="G306" s="4" t="s">
        <v>211</v>
      </c>
      <c r="H306" s="4">
        <v>302</v>
      </c>
      <c r="I306" s="5">
        <f t="shared" si="24"/>
        <v>235.81793293868969</v>
      </c>
      <c r="J306" s="4">
        <v>1731</v>
      </c>
      <c r="K306" s="5">
        <f t="shared" si="25"/>
        <v>934.51737926991029</v>
      </c>
      <c r="L306" s="5">
        <v>0</v>
      </c>
      <c r="M306" s="5">
        <v>0</v>
      </c>
      <c r="N306" s="4">
        <v>0</v>
      </c>
      <c r="O306" s="5">
        <f t="shared" si="26"/>
        <v>0</v>
      </c>
      <c r="P306" s="4">
        <v>0</v>
      </c>
      <c r="Q306" s="4">
        <v>0</v>
      </c>
      <c r="R306" s="4">
        <v>0</v>
      </c>
      <c r="S306" s="5">
        <f t="shared" si="27"/>
        <v>0</v>
      </c>
      <c r="T306" s="5">
        <f t="shared" si="28"/>
        <v>3.9628766465054017</v>
      </c>
      <c r="U306" s="5">
        <f t="shared" si="29"/>
        <v>0</v>
      </c>
      <c r="V306" s="4">
        <v>-23</v>
      </c>
      <c r="W306" s="4">
        <v>-34</v>
      </c>
      <c r="X306" s="4">
        <v>2</v>
      </c>
      <c r="Y306" s="4">
        <v>-34</v>
      </c>
      <c r="Z306" s="4">
        <v>0</v>
      </c>
      <c r="AA306" s="4">
        <v>0</v>
      </c>
      <c r="AB306" s="4">
        <v>0</v>
      </c>
      <c r="AC306" s="4">
        <v>0</v>
      </c>
      <c r="AD306" s="4"/>
      <c r="AE306" s="54">
        <v>-6.0307979583740226E-3</v>
      </c>
      <c r="AF306" s="54">
        <v>-0.99300801753997803</v>
      </c>
    </row>
    <row r="307" spans="1:32" x14ac:dyDescent="0.2">
      <c r="A307" s="53" t="s">
        <v>2183</v>
      </c>
      <c r="B307" s="53" t="s">
        <v>2184</v>
      </c>
      <c r="C307" s="54" t="s">
        <v>3063</v>
      </c>
      <c r="D307" s="13" t="s">
        <v>1849</v>
      </c>
      <c r="E307" s="4" t="s">
        <v>1851</v>
      </c>
      <c r="F307" s="4" t="s">
        <v>1850</v>
      </c>
      <c r="G307" s="4" t="s">
        <v>289</v>
      </c>
      <c r="H307" s="4">
        <v>382</v>
      </c>
      <c r="I307" s="5">
        <f t="shared" si="24"/>
        <v>298.28625954496511</v>
      </c>
      <c r="J307" s="4">
        <v>3574</v>
      </c>
      <c r="K307" s="5">
        <f t="shared" si="25"/>
        <v>1929.5003544255687</v>
      </c>
      <c r="L307" s="5">
        <v>0</v>
      </c>
      <c r="M307" s="5">
        <v>0</v>
      </c>
      <c r="N307" s="4">
        <v>0</v>
      </c>
      <c r="O307" s="5">
        <f t="shared" si="26"/>
        <v>0</v>
      </c>
      <c r="P307" s="4">
        <v>0</v>
      </c>
      <c r="Q307" s="4">
        <v>0</v>
      </c>
      <c r="R307" s="4">
        <v>0</v>
      </c>
      <c r="S307" s="5">
        <f t="shared" si="27"/>
        <v>0</v>
      </c>
      <c r="T307" s="5">
        <f t="shared" si="28"/>
        <v>6.4686196319234295</v>
      </c>
      <c r="U307" s="5">
        <f t="shared" si="29"/>
        <v>0</v>
      </c>
      <c r="V307" s="4">
        <v>-14</v>
      </c>
      <c r="W307" s="4">
        <v>-40</v>
      </c>
      <c r="X307" s="4">
        <v>-5</v>
      </c>
      <c r="Y307" s="4">
        <v>15</v>
      </c>
      <c r="Z307" s="4">
        <v>0</v>
      </c>
      <c r="AA307" s="4">
        <v>0</v>
      </c>
      <c r="AB307" s="4">
        <v>0</v>
      </c>
      <c r="AC307" s="4">
        <v>0</v>
      </c>
      <c r="AD307" s="4"/>
      <c r="AE307" s="54">
        <v>-1.2075901031494141E-3</v>
      </c>
      <c r="AF307" s="54">
        <v>-0.73794448375701904</v>
      </c>
    </row>
    <row r="308" spans="1:32" x14ac:dyDescent="0.2">
      <c r="A308" s="53" t="s">
        <v>2222</v>
      </c>
      <c r="B308" s="53" t="s">
        <v>2224</v>
      </c>
      <c r="C308" s="54" t="s">
        <v>3066</v>
      </c>
      <c r="D308" s="13" t="s">
        <v>1871</v>
      </c>
      <c r="E308" s="4" t="s">
        <v>1873</v>
      </c>
      <c r="F308" s="4" t="s">
        <v>1872</v>
      </c>
      <c r="G308" s="12" t="s">
        <v>22</v>
      </c>
      <c r="H308" s="4">
        <v>196</v>
      </c>
      <c r="I308" s="5">
        <f t="shared" si="24"/>
        <v>153.04740018537476</v>
      </c>
      <c r="J308" s="4">
        <v>2547</v>
      </c>
      <c r="K308" s="5">
        <f t="shared" si="25"/>
        <v>1375.0524350089322</v>
      </c>
      <c r="L308" s="5">
        <v>0</v>
      </c>
      <c r="M308" s="5">
        <v>0</v>
      </c>
      <c r="N308" s="4">
        <v>0</v>
      </c>
      <c r="O308" s="5">
        <f t="shared" si="26"/>
        <v>0</v>
      </c>
      <c r="P308" s="4">
        <v>0</v>
      </c>
      <c r="Q308" s="4">
        <v>0</v>
      </c>
      <c r="R308" s="4">
        <v>0</v>
      </c>
      <c r="S308" s="5">
        <f t="shared" si="27"/>
        <v>0</v>
      </c>
      <c r="T308" s="5">
        <f t="shared" si="28"/>
        <v>8.9844873767436439</v>
      </c>
      <c r="U308" s="5">
        <f t="shared" si="29"/>
        <v>0</v>
      </c>
      <c r="V308" s="4">
        <v>0</v>
      </c>
      <c r="W308" s="4">
        <v>-18</v>
      </c>
      <c r="X308" s="4">
        <v>-9</v>
      </c>
      <c r="Y308" s="4">
        <v>3</v>
      </c>
      <c r="Z308" s="4">
        <v>0</v>
      </c>
      <c r="AA308" s="4">
        <v>0</v>
      </c>
      <c r="AB308" s="4">
        <v>0</v>
      </c>
      <c r="AC308" s="4">
        <v>0</v>
      </c>
      <c r="AD308" s="4"/>
      <c r="AE308" s="54">
        <v>2.0745396614074711E-3</v>
      </c>
      <c r="AF308" s="54">
        <v>0.88191461563110352</v>
      </c>
    </row>
    <row r="309" spans="1:32" x14ac:dyDescent="0.2">
      <c r="A309" s="53" t="s">
        <v>2226</v>
      </c>
      <c r="B309" s="53" t="s">
        <v>2225</v>
      </c>
      <c r="C309" s="54" t="s">
        <v>3068</v>
      </c>
      <c r="D309" s="13" t="s">
        <v>2031</v>
      </c>
      <c r="E309" s="4" t="s">
        <v>2033</v>
      </c>
      <c r="F309" s="4" t="s">
        <v>2032</v>
      </c>
      <c r="G309" s="12" t="s">
        <v>22</v>
      </c>
      <c r="H309" s="4">
        <v>1790</v>
      </c>
      <c r="I309" s="5">
        <f t="shared" si="24"/>
        <v>1397.7288078154124</v>
      </c>
      <c r="J309" s="4">
        <v>2435</v>
      </c>
      <c r="K309" s="5">
        <f t="shared" si="25"/>
        <v>1314.5868391231841</v>
      </c>
      <c r="L309" s="5">
        <v>0</v>
      </c>
      <c r="M309" s="5">
        <v>0</v>
      </c>
      <c r="N309" s="4">
        <v>0</v>
      </c>
      <c r="O309" s="5">
        <f t="shared" si="26"/>
        <v>0</v>
      </c>
      <c r="P309" s="4">
        <v>0</v>
      </c>
      <c r="Q309" s="4">
        <v>0</v>
      </c>
      <c r="R309" s="4">
        <v>0</v>
      </c>
      <c r="S309" s="5">
        <f t="shared" si="27"/>
        <v>0</v>
      </c>
      <c r="T309" s="5">
        <f t="shared" si="28"/>
        <v>0.94051638041132202</v>
      </c>
      <c r="U309" s="5">
        <f t="shared" si="29"/>
        <v>0</v>
      </c>
      <c r="V309" s="4">
        <v>6</v>
      </c>
      <c r="W309" s="4">
        <v>-14</v>
      </c>
      <c r="X309" s="4">
        <v>-47</v>
      </c>
      <c r="Y309" s="4">
        <v>17</v>
      </c>
      <c r="Z309" s="4">
        <v>0</v>
      </c>
      <c r="AA309" s="4">
        <v>0</v>
      </c>
      <c r="AB309" s="4">
        <v>0</v>
      </c>
      <c r="AC309" s="4">
        <v>0</v>
      </c>
      <c r="AD309" s="4"/>
      <c r="AE309" s="54">
        <v>-2.0623207092285159E-4</v>
      </c>
      <c r="AF309" s="54">
        <v>-0.30177533626556402</v>
      </c>
    </row>
    <row r="310" spans="1:32" x14ac:dyDescent="0.2">
      <c r="A310" s="53" t="s">
        <v>2663</v>
      </c>
      <c r="B310" s="53" t="s">
        <v>2662</v>
      </c>
      <c r="C310" s="54" t="s">
        <v>3071</v>
      </c>
      <c r="D310" s="13" t="s">
        <v>730</v>
      </c>
      <c r="E310" s="4" t="s">
        <v>732</v>
      </c>
      <c r="F310" s="4" t="s">
        <v>731</v>
      </c>
      <c r="G310" s="4" t="s">
        <v>1533</v>
      </c>
      <c r="H310" s="4">
        <v>1456</v>
      </c>
      <c r="I310" s="5">
        <f t="shared" si="24"/>
        <v>1136.9235442342126</v>
      </c>
      <c r="J310" s="4">
        <v>3061</v>
      </c>
      <c r="K310" s="5">
        <f t="shared" si="25"/>
        <v>1652.546330413169</v>
      </c>
      <c r="L310" s="5">
        <v>0</v>
      </c>
      <c r="M310" s="5">
        <v>0</v>
      </c>
      <c r="N310" s="4">
        <v>0</v>
      </c>
      <c r="O310" s="5">
        <f t="shared" si="26"/>
        <v>0</v>
      </c>
      <c r="P310" s="4">
        <v>0</v>
      </c>
      <c r="Q310" s="4">
        <v>0</v>
      </c>
      <c r="R310" s="4">
        <v>0</v>
      </c>
      <c r="S310" s="5">
        <f t="shared" si="27"/>
        <v>0</v>
      </c>
      <c r="T310" s="5">
        <f t="shared" si="28"/>
        <v>1.4535245916877022</v>
      </c>
      <c r="U310" s="5">
        <f t="shared" si="29"/>
        <v>0</v>
      </c>
      <c r="V310" s="4">
        <v>20</v>
      </c>
      <c r="W310" s="4">
        <v>-30</v>
      </c>
      <c r="X310" s="4">
        <v>-46</v>
      </c>
      <c r="Y310" s="4">
        <v>21</v>
      </c>
      <c r="Z310" s="10">
        <v>0</v>
      </c>
      <c r="AA310" s="10">
        <v>0</v>
      </c>
      <c r="AB310" s="10">
        <v>0</v>
      </c>
      <c r="AC310" s="10">
        <v>0</v>
      </c>
      <c r="AD310" s="4"/>
      <c r="AE310" s="54">
        <v>1.435184478759766E-2</v>
      </c>
      <c r="AF310" s="54">
        <v>0.99921649694442749</v>
      </c>
    </row>
    <row r="311" spans="1:32" x14ac:dyDescent="0.2">
      <c r="A311" s="53" t="s">
        <v>2543</v>
      </c>
      <c r="B311" s="53" t="s">
        <v>2545</v>
      </c>
      <c r="C311" s="54" t="s">
        <v>3073</v>
      </c>
      <c r="D311" s="13" t="s">
        <v>414</v>
      </c>
      <c r="E311" s="4" t="s">
        <v>416</v>
      </c>
      <c r="F311" s="4" t="s">
        <v>415</v>
      </c>
      <c r="G311" s="4" t="s">
        <v>1328</v>
      </c>
      <c r="H311" s="4">
        <v>295</v>
      </c>
      <c r="I311" s="5">
        <f t="shared" si="24"/>
        <v>230.3519543606406</v>
      </c>
      <c r="J311" s="4">
        <v>1649</v>
      </c>
      <c r="K311" s="5">
        <f t="shared" si="25"/>
        <v>890.24792513927332</v>
      </c>
      <c r="L311" s="5">
        <v>0</v>
      </c>
      <c r="M311" s="5">
        <v>0</v>
      </c>
      <c r="N311" s="4">
        <v>0</v>
      </c>
      <c r="O311" s="5">
        <f t="shared" si="26"/>
        <v>0</v>
      </c>
      <c r="P311" s="4">
        <v>0</v>
      </c>
      <c r="Q311" s="4">
        <v>0</v>
      </c>
      <c r="R311" s="4">
        <v>0</v>
      </c>
      <c r="S311" s="5">
        <f t="shared" si="27"/>
        <v>0</v>
      </c>
      <c r="T311" s="5">
        <f t="shared" si="28"/>
        <v>3.8647292036667293</v>
      </c>
      <c r="U311" s="5">
        <f t="shared" si="29"/>
        <v>0</v>
      </c>
      <c r="V311" s="4">
        <v>-1</v>
      </c>
      <c r="W311" s="4">
        <v>-2</v>
      </c>
      <c r="X311" s="4">
        <v>-1</v>
      </c>
      <c r="Y311" s="4">
        <v>-48</v>
      </c>
      <c r="Z311" s="4">
        <v>0</v>
      </c>
      <c r="AA311" s="4">
        <v>0</v>
      </c>
      <c r="AB311" s="4">
        <v>0</v>
      </c>
      <c r="AC311" s="4">
        <v>0</v>
      </c>
      <c r="AD311" s="4"/>
      <c r="AE311" s="54">
        <v>8.335113525390625E-4</v>
      </c>
      <c r="AF311" s="54">
        <v>0.66821938753128052</v>
      </c>
    </row>
    <row r="312" spans="1:32" x14ac:dyDescent="0.2">
      <c r="A312" s="53" t="s">
        <v>2543</v>
      </c>
      <c r="B312" s="53" t="s">
        <v>2544</v>
      </c>
      <c r="C312" s="54" t="s">
        <v>3074</v>
      </c>
      <c r="D312" s="13" t="s">
        <v>411</v>
      </c>
      <c r="E312" s="4" t="s">
        <v>413</v>
      </c>
      <c r="F312" s="4" t="s">
        <v>412</v>
      </c>
      <c r="G312" s="4" t="s">
        <v>345</v>
      </c>
      <c r="H312" s="4">
        <v>2053</v>
      </c>
      <c r="I312" s="5">
        <f t="shared" si="24"/>
        <v>1603.0934315335428</v>
      </c>
      <c r="J312" s="4">
        <v>771</v>
      </c>
      <c r="K312" s="5">
        <f t="shared" si="25"/>
        <v>416.24084310635521</v>
      </c>
      <c r="L312" s="5">
        <v>1</v>
      </c>
      <c r="M312" s="5">
        <v>0</v>
      </c>
      <c r="N312" s="4">
        <v>0</v>
      </c>
      <c r="O312" s="5">
        <f t="shared" si="26"/>
        <v>0.33333333333333331</v>
      </c>
      <c r="P312" s="4">
        <v>0</v>
      </c>
      <c r="Q312" s="4">
        <v>0</v>
      </c>
      <c r="R312" s="4">
        <v>0</v>
      </c>
      <c r="S312" s="5">
        <f t="shared" si="27"/>
        <v>0</v>
      </c>
      <c r="T312" s="5">
        <f t="shared" si="28"/>
        <v>0.25964852385938175</v>
      </c>
      <c r="U312" s="5">
        <f t="shared" si="29"/>
        <v>0</v>
      </c>
      <c r="V312" s="4">
        <v>10</v>
      </c>
      <c r="W312" s="4">
        <v>-28</v>
      </c>
      <c r="X312" s="4">
        <v>26</v>
      </c>
      <c r="Y312" s="4">
        <v>25</v>
      </c>
      <c r="Z312" s="4">
        <v>0</v>
      </c>
      <c r="AA312" s="4">
        <v>0</v>
      </c>
      <c r="AB312" s="4">
        <v>0</v>
      </c>
      <c r="AC312" s="4">
        <v>0</v>
      </c>
      <c r="AD312" s="4"/>
      <c r="AE312" s="54">
        <v>-1.4204978942871089E-3</v>
      </c>
      <c r="AF312" s="54">
        <v>-0.79902827739715576</v>
      </c>
    </row>
    <row r="313" spans="1:32" x14ac:dyDescent="0.2">
      <c r="A313" s="53" t="s">
        <v>2679</v>
      </c>
      <c r="B313" s="53" t="s">
        <v>2678</v>
      </c>
      <c r="C313" s="54" t="s">
        <v>3075</v>
      </c>
      <c r="D313" s="13" t="s">
        <v>1884</v>
      </c>
      <c r="E313" s="4" t="s">
        <v>1886</v>
      </c>
      <c r="F313" s="4" t="s">
        <v>1885</v>
      </c>
      <c r="G313" s="15" t="s">
        <v>188</v>
      </c>
      <c r="H313" s="4">
        <v>2089</v>
      </c>
      <c r="I313" s="5">
        <f t="shared" si="24"/>
        <v>1631.2041785063666</v>
      </c>
      <c r="J313" s="4">
        <v>2557</v>
      </c>
      <c r="K313" s="5">
        <f t="shared" si="25"/>
        <v>1380.4511489273025</v>
      </c>
      <c r="L313" s="5">
        <v>0</v>
      </c>
      <c r="M313" s="5">
        <v>0</v>
      </c>
      <c r="N313" s="4">
        <v>0</v>
      </c>
      <c r="O313" s="5">
        <f t="shared" si="26"/>
        <v>0</v>
      </c>
      <c r="P313" s="4">
        <v>0</v>
      </c>
      <c r="Q313" s="4">
        <v>0</v>
      </c>
      <c r="R313" s="4">
        <v>0</v>
      </c>
      <c r="S313" s="5">
        <f t="shared" si="27"/>
        <v>0</v>
      </c>
      <c r="T313" s="5">
        <f t="shared" si="28"/>
        <v>0.84627734965179569</v>
      </c>
      <c r="U313" s="5">
        <f t="shared" si="29"/>
        <v>0</v>
      </c>
      <c r="V313" s="4">
        <v>33</v>
      </c>
      <c r="W313" s="4">
        <v>-14</v>
      </c>
      <c r="X313" s="4">
        <v>-41</v>
      </c>
      <c r="Y313" s="4">
        <v>-14</v>
      </c>
      <c r="Z313" s="4">
        <v>0</v>
      </c>
      <c r="AA313" s="4">
        <v>0</v>
      </c>
      <c r="AB313" s="4">
        <v>0</v>
      </c>
      <c r="AC313" s="4">
        <v>0</v>
      </c>
      <c r="AD313" s="4"/>
      <c r="AE313" s="54">
        <v>2.460479736328125E-4</v>
      </c>
      <c r="AF313" s="54">
        <v>0.34311208128929138</v>
      </c>
    </row>
    <row r="314" spans="1:32" x14ac:dyDescent="0.2">
      <c r="A314" s="53" t="s">
        <v>2679</v>
      </c>
      <c r="B314" s="53" t="s">
        <v>2681</v>
      </c>
      <c r="C314" s="54" t="s">
        <v>3076</v>
      </c>
      <c r="D314" s="13" t="s">
        <v>1890</v>
      </c>
      <c r="E314" s="4" t="s">
        <v>1892</v>
      </c>
      <c r="F314" s="4" t="s">
        <v>1891</v>
      </c>
      <c r="G314" s="4" t="s">
        <v>50</v>
      </c>
      <c r="H314" s="4">
        <v>1746</v>
      </c>
      <c r="I314" s="5">
        <f t="shared" si="24"/>
        <v>1363.371228181961</v>
      </c>
      <c r="J314" s="4">
        <v>5051</v>
      </c>
      <c r="K314" s="5">
        <f t="shared" si="25"/>
        <v>2726.8904001688716</v>
      </c>
      <c r="L314" s="5">
        <v>0</v>
      </c>
      <c r="M314" s="5">
        <v>0</v>
      </c>
      <c r="N314" s="4">
        <v>0</v>
      </c>
      <c r="O314" s="5">
        <f t="shared" si="26"/>
        <v>0</v>
      </c>
      <c r="P314" s="4">
        <v>0</v>
      </c>
      <c r="Q314" s="4">
        <v>0</v>
      </c>
      <c r="R314" s="4">
        <v>0</v>
      </c>
      <c r="S314" s="5">
        <f t="shared" si="27"/>
        <v>0</v>
      </c>
      <c r="T314" s="5">
        <f t="shared" si="28"/>
        <v>2.0001085132221448</v>
      </c>
      <c r="U314" s="5">
        <f t="shared" si="29"/>
        <v>0</v>
      </c>
      <c r="V314" s="4">
        <v>-11</v>
      </c>
      <c r="W314" s="4">
        <v>-1</v>
      </c>
      <c r="X314" s="4">
        <v>-41</v>
      </c>
      <c r="Y314" s="4">
        <v>-3</v>
      </c>
      <c r="Z314" s="4">
        <v>0</v>
      </c>
      <c r="AA314" s="4">
        <v>0</v>
      </c>
      <c r="AB314" s="4">
        <v>0</v>
      </c>
      <c r="AC314" s="4">
        <v>0</v>
      </c>
      <c r="AD314" s="4"/>
      <c r="AE314" s="54">
        <v>1.9130706787109379E-3</v>
      </c>
      <c r="AF314" s="54">
        <v>0.86263847351074219</v>
      </c>
    </row>
    <row r="315" spans="1:32" x14ac:dyDescent="0.2">
      <c r="A315" s="53" t="s">
        <v>2679</v>
      </c>
      <c r="B315" s="53" t="s">
        <v>2680</v>
      </c>
      <c r="C315" s="54" t="s">
        <v>3077</v>
      </c>
      <c r="D315" s="13" t="s">
        <v>1887</v>
      </c>
      <c r="E315" s="4" t="s">
        <v>1889</v>
      </c>
      <c r="F315" s="4" t="s">
        <v>1888</v>
      </c>
      <c r="G315" s="15" t="s">
        <v>188</v>
      </c>
      <c r="H315" s="4">
        <v>5586</v>
      </c>
      <c r="I315" s="5">
        <f t="shared" si="24"/>
        <v>4361.8509052831805</v>
      </c>
      <c r="J315" s="4">
        <v>3293</v>
      </c>
      <c r="K315" s="5">
        <f t="shared" si="25"/>
        <v>1777.7964933193614</v>
      </c>
      <c r="L315" s="5">
        <v>0</v>
      </c>
      <c r="M315" s="5">
        <v>0</v>
      </c>
      <c r="N315" s="4">
        <v>0</v>
      </c>
      <c r="O315" s="5">
        <f t="shared" si="26"/>
        <v>0</v>
      </c>
      <c r="P315" s="4">
        <v>0</v>
      </c>
      <c r="Q315" s="4">
        <v>0</v>
      </c>
      <c r="R315" s="4">
        <v>0</v>
      </c>
      <c r="S315" s="5">
        <f t="shared" si="27"/>
        <v>0</v>
      </c>
      <c r="T315" s="5">
        <f t="shared" si="28"/>
        <v>0.4075784642629694</v>
      </c>
      <c r="U315" s="5">
        <f t="shared" si="29"/>
        <v>0</v>
      </c>
      <c r="V315" s="4">
        <v>35</v>
      </c>
      <c r="W315" s="4">
        <v>-10</v>
      </c>
      <c r="X315" s="4">
        <v>30</v>
      </c>
      <c r="Y315" s="4">
        <v>-10</v>
      </c>
      <c r="Z315" s="4">
        <v>0</v>
      </c>
      <c r="AA315" s="4">
        <v>0</v>
      </c>
      <c r="AB315" s="4">
        <v>0</v>
      </c>
      <c r="AC315" s="4">
        <v>0</v>
      </c>
      <c r="AD315" s="4"/>
      <c r="AE315" s="54">
        <v>-5.1069259643554688E-3</v>
      </c>
      <c r="AF315" s="54">
        <v>-0.98786723613739014</v>
      </c>
    </row>
    <row r="316" spans="1:32" x14ac:dyDescent="0.2">
      <c r="A316" s="53" t="s">
        <v>2582</v>
      </c>
      <c r="B316" s="53" t="s">
        <v>2584</v>
      </c>
      <c r="C316" s="54" t="s">
        <v>3080</v>
      </c>
      <c r="D316" s="13" t="s">
        <v>398</v>
      </c>
      <c r="E316" s="4" t="s">
        <v>400</v>
      </c>
      <c r="F316" s="4" t="s">
        <v>399</v>
      </c>
      <c r="G316" s="4" t="s">
        <v>17</v>
      </c>
      <c r="H316" s="4">
        <v>1426</v>
      </c>
      <c r="I316" s="5">
        <f t="shared" si="24"/>
        <v>1113.4979217568591</v>
      </c>
      <c r="J316" s="4">
        <v>1119</v>
      </c>
      <c r="K316" s="5">
        <f t="shared" si="25"/>
        <v>604.11608746564389</v>
      </c>
      <c r="L316" s="5">
        <v>0</v>
      </c>
      <c r="M316" s="5">
        <v>0</v>
      </c>
      <c r="N316" s="4">
        <v>0</v>
      </c>
      <c r="O316" s="5">
        <f t="shared" si="26"/>
        <v>0</v>
      </c>
      <c r="P316" s="4">
        <v>0</v>
      </c>
      <c r="Q316" s="4">
        <v>0</v>
      </c>
      <c r="R316" s="4">
        <v>0</v>
      </c>
      <c r="S316" s="5">
        <f t="shared" si="27"/>
        <v>0</v>
      </c>
      <c r="T316" s="5">
        <f t="shared" si="28"/>
        <v>0.54253903456997854</v>
      </c>
      <c r="U316" s="5">
        <f t="shared" si="29"/>
        <v>0</v>
      </c>
      <c r="V316" s="4">
        <v>-8</v>
      </c>
      <c r="W316" s="4">
        <v>47</v>
      </c>
      <c r="X316" s="4">
        <v>-8</v>
      </c>
      <c r="Y316" s="4">
        <v>-7</v>
      </c>
      <c r="Z316" s="4">
        <v>0</v>
      </c>
      <c r="AA316" s="4">
        <v>0</v>
      </c>
      <c r="AB316" s="4">
        <v>0</v>
      </c>
      <c r="AC316" s="4">
        <v>0</v>
      </c>
      <c r="AD316" s="4"/>
      <c r="AE316" s="54">
        <v>-3.834009170532227E-3</v>
      </c>
      <c r="AF316" s="54">
        <v>-0.97237616777420044</v>
      </c>
    </row>
    <row r="317" spans="1:32" x14ac:dyDescent="0.2">
      <c r="A317" s="53" t="s">
        <v>2854</v>
      </c>
      <c r="B317" s="53" t="s">
        <v>2853</v>
      </c>
      <c r="C317" s="54" t="s">
        <v>3084</v>
      </c>
      <c r="D317" s="13" t="s">
        <v>816</v>
      </c>
      <c r="E317" s="4" t="s">
        <v>818</v>
      </c>
      <c r="F317" s="4" t="s">
        <v>817</v>
      </c>
      <c r="G317" s="4" t="s">
        <v>2050</v>
      </c>
      <c r="H317" s="4">
        <v>1633</v>
      </c>
      <c r="I317" s="5">
        <f t="shared" si="24"/>
        <v>1275.134716850597</v>
      </c>
      <c r="J317" s="4">
        <v>3170</v>
      </c>
      <c r="K317" s="5">
        <f t="shared" si="25"/>
        <v>1711.3923121234061</v>
      </c>
      <c r="L317" s="5">
        <v>0</v>
      </c>
      <c r="M317" s="5">
        <v>0</v>
      </c>
      <c r="N317" s="4">
        <v>0</v>
      </c>
      <c r="O317" s="5">
        <f t="shared" si="26"/>
        <v>0</v>
      </c>
      <c r="P317" s="4">
        <v>0</v>
      </c>
      <c r="Q317" s="4">
        <v>0</v>
      </c>
      <c r="R317" s="4">
        <v>0</v>
      </c>
      <c r="S317" s="5">
        <f t="shared" si="27"/>
        <v>0</v>
      </c>
      <c r="T317" s="5">
        <f t="shared" si="28"/>
        <v>1.3421266706237156</v>
      </c>
      <c r="U317" s="5">
        <f t="shared" si="29"/>
        <v>0</v>
      </c>
      <c r="V317" s="4">
        <v>3</v>
      </c>
      <c r="W317" s="4">
        <v>-41</v>
      </c>
      <c r="X317" s="4">
        <v>2</v>
      </c>
      <c r="Y317" s="4">
        <v>-41</v>
      </c>
      <c r="Z317" s="4">
        <v>0</v>
      </c>
      <c r="AA317" s="4">
        <v>0</v>
      </c>
      <c r="AB317" s="4">
        <v>0</v>
      </c>
      <c r="AC317" s="4">
        <v>0</v>
      </c>
      <c r="AD317" s="4"/>
      <c r="AE317" s="54">
        <v>-9.4628334045410156E-4</v>
      </c>
      <c r="AF317" s="54">
        <v>-0.66178512573242188</v>
      </c>
    </row>
    <row r="318" spans="1:32" x14ac:dyDescent="0.2">
      <c r="A318" s="53" t="s">
        <v>2665</v>
      </c>
      <c r="B318" s="53" t="s">
        <v>2664</v>
      </c>
      <c r="C318" s="54" t="s">
        <v>3087</v>
      </c>
      <c r="D318" s="13" t="s">
        <v>810</v>
      </c>
      <c r="E318" s="4" t="s">
        <v>812</v>
      </c>
      <c r="F318" s="4" t="s">
        <v>811</v>
      </c>
      <c r="G318" s="4" t="s">
        <v>50</v>
      </c>
      <c r="H318" s="4">
        <v>795</v>
      </c>
      <c r="I318" s="5">
        <f t="shared" si="24"/>
        <v>620.77899564986194</v>
      </c>
      <c r="J318" s="4">
        <v>3677</v>
      </c>
      <c r="K318" s="5">
        <f t="shared" si="25"/>
        <v>1985.1071077847835</v>
      </c>
      <c r="L318" s="5">
        <v>0</v>
      </c>
      <c r="M318" s="5">
        <v>0</v>
      </c>
      <c r="N318" s="4">
        <v>0</v>
      </c>
      <c r="O318" s="5">
        <f t="shared" si="26"/>
        <v>0</v>
      </c>
      <c r="P318" s="4">
        <v>0</v>
      </c>
      <c r="Q318" s="4">
        <v>0</v>
      </c>
      <c r="R318" s="4">
        <v>0</v>
      </c>
      <c r="S318" s="5">
        <f t="shared" si="27"/>
        <v>0</v>
      </c>
      <c r="T318" s="5">
        <f t="shared" si="28"/>
        <v>3.1977678395943081</v>
      </c>
      <c r="U318" s="5">
        <f t="shared" si="29"/>
        <v>0</v>
      </c>
      <c r="V318" s="4">
        <v>26</v>
      </c>
      <c r="W318" s="4">
        <v>50</v>
      </c>
      <c r="X318" s="4">
        <v>-20</v>
      </c>
      <c r="Y318" s="4">
        <v>1</v>
      </c>
      <c r="Z318" s="4">
        <v>0</v>
      </c>
      <c r="AA318" s="4">
        <v>0</v>
      </c>
      <c r="AB318" s="4">
        <v>0</v>
      </c>
      <c r="AC318" s="4">
        <v>0</v>
      </c>
      <c r="AD318" s="4"/>
      <c r="AE318" s="54">
        <v>1.9764900207519531E-4</v>
      </c>
      <c r="AF318" s="54">
        <v>0.30177533626556402</v>
      </c>
    </row>
    <row r="319" spans="1:32" x14ac:dyDescent="0.2">
      <c r="A319" s="53" t="s">
        <v>2665</v>
      </c>
      <c r="B319" s="53" t="s">
        <v>2667</v>
      </c>
      <c r="C319" s="54" t="s">
        <v>3088</v>
      </c>
      <c r="D319" s="13" t="s">
        <v>417</v>
      </c>
      <c r="E319" s="4" t="s">
        <v>419</v>
      </c>
      <c r="F319" s="4" t="s">
        <v>418</v>
      </c>
      <c r="G319" s="4" t="s">
        <v>249</v>
      </c>
      <c r="H319" s="4">
        <v>2322</v>
      </c>
      <c r="I319" s="5">
        <f t="shared" si="24"/>
        <v>1813.1431797471437</v>
      </c>
      <c r="J319" s="4">
        <v>1148</v>
      </c>
      <c r="K319" s="5">
        <f t="shared" si="25"/>
        <v>619.77235782891796</v>
      </c>
      <c r="L319" s="5">
        <v>0</v>
      </c>
      <c r="M319" s="5">
        <v>0</v>
      </c>
      <c r="N319" s="4">
        <v>0</v>
      </c>
      <c r="O319" s="5">
        <f t="shared" si="26"/>
        <v>0</v>
      </c>
      <c r="P319" s="4">
        <v>0</v>
      </c>
      <c r="Q319" s="4">
        <v>0</v>
      </c>
      <c r="R319" s="4">
        <v>0</v>
      </c>
      <c r="S319" s="5">
        <f t="shared" si="27"/>
        <v>0</v>
      </c>
      <c r="T319" s="5">
        <f t="shared" si="28"/>
        <v>0.34182207161121708</v>
      </c>
      <c r="U319" s="5">
        <f t="shared" si="29"/>
        <v>0</v>
      </c>
      <c r="V319" s="4">
        <v>14</v>
      </c>
      <c r="W319" s="4">
        <v>18</v>
      </c>
      <c r="X319" s="4">
        <v>15</v>
      </c>
      <c r="Y319" s="4">
        <v>50</v>
      </c>
      <c r="Z319" s="4">
        <v>0</v>
      </c>
      <c r="AA319" s="4">
        <v>0</v>
      </c>
      <c r="AB319" s="4">
        <v>0</v>
      </c>
      <c r="AC319" s="4">
        <v>0</v>
      </c>
      <c r="AD319" s="4"/>
      <c r="AE319" s="54">
        <v>1.8596649169921878E-5</v>
      </c>
      <c r="AF319" s="54">
        <v>9.2026785016059875E-2</v>
      </c>
    </row>
    <row r="320" spans="1:32" x14ac:dyDescent="0.2">
      <c r="A320" s="53" t="s">
        <v>2673</v>
      </c>
      <c r="B320" s="53" t="s">
        <v>2672</v>
      </c>
      <c r="C320" s="54" t="s">
        <v>3089</v>
      </c>
      <c r="D320" s="13" t="s">
        <v>1683</v>
      </c>
      <c r="E320" s="4" t="s">
        <v>1685</v>
      </c>
      <c r="F320" s="4" t="s">
        <v>1684</v>
      </c>
      <c r="G320" s="4" t="s">
        <v>42</v>
      </c>
      <c r="H320" s="4">
        <v>981</v>
      </c>
      <c r="I320" s="5">
        <f t="shared" si="24"/>
        <v>766.01785500945221</v>
      </c>
      <c r="J320" s="4">
        <v>3928</v>
      </c>
      <c r="K320" s="5">
        <f t="shared" si="25"/>
        <v>2120.6148271358798</v>
      </c>
      <c r="L320" s="5">
        <v>0</v>
      </c>
      <c r="M320" s="5">
        <v>0</v>
      </c>
      <c r="N320" s="4">
        <v>0</v>
      </c>
      <c r="O320" s="5">
        <f t="shared" si="26"/>
        <v>0</v>
      </c>
      <c r="P320" s="4">
        <v>0</v>
      </c>
      <c r="Q320" s="4">
        <v>0</v>
      </c>
      <c r="R320" s="4">
        <v>0</v>
      </c>
      <c r="S320" s="5">
        <f t="shared" si="27"/>
        <v>0</v>
      </c>
      <c r="T320" s="5">
        <f t="shared" si="28"/>
        <v>2.7683621383860726</v>
      </c>
      <c r="U320" s="5">
        <f t="shared" si="29"/>
        <v>0</v>
      </c>
      <c r="V320" s="4">
        <v>-36</v>
      </c>
      <c r="W320" s="4">
        <v>-18</v>
      </c>
      <c r="X320" s="4">
        <v>35</v>
      </c>
      <c r="Y320" s="4">
        <v>-36</v>
      </c>
      <c r="Z320" s="4">
        <v>0</v>
      </c>
      <c r="AA320" s="4">
        <v>0</v>
      </c>
      <c r="AB320" s="4">
        <v>0</v>
      </c>
      <c r="AC320" s="4">
        <v>0</v>
      </c>
      <c r="AD320" s="4"/>
      <c r="AE320" s="54">
        <v>1.435279846191406E-3</v>
      </c>
      <c r="AF320" s="54">
        <v>0.79053133726119995</v>
      </c>
    </row>
    <row r="321" spans="1:32" x14ac:dyDescent="0.2">
      <c r="A321" s="53" t="s">
        <v>2173</v>
      </c>
      <c r="B321" s="53" t="s">
        <v>2172</v>
      </c>
      <c r="C321" s="54" t="s">
        <v>3090</v>
      </c>
      <c r="D321" s="13" t="s">
        <v>1680</v>
      </c>
      <c r="E321" s="4" t="s">
        <v>1682</v>
      </c>
      <c r="F321" s="4" t="s">
        <v>1681</v>
      </c>
      <c r="G321" s="12" t="s">
        <v>22</v>
      </c>
      <c r="H321" s="4">
        <v>425</v>
      </c>
      <c r="I321" s="5">
        <f t="shared" si="24"/>
        <v>331.8629850958381</v>
      </c>
      <c r="J321" s="4">
        <v>4947</v>
      </c>
      <c r="K321" s="5">
        <f t="shared" si="25"/>
        <v>2670.74377541782</v>
      </c>
      <c r="L321" s="5">
        <v>0</v>
      </c>
      <c r="M321" s="5">
        <v>0</v>
      </c>
      <c r="N321" s="4">
        <v>0</v>
      </c>
      <c r="O321" s="5">
        <f t="shared" si="26"/>
        <v>0</v>
      </c>
      <c r="P321" s="4">
        <v>0</v>
      </c>
      <c r="Q321" s="4">
        <v>0</v>
      </c>
      <c r="R321" s="4">
        <v>0</v>
      </c>
      <c r="S321" s="5">
        <f t="shared" si="27"/>
        <v>0</v>
      </c>
      <c r="T321" s="5">
        <f t="shared" si="28"/>
        <v>8.0477302241060134</v>
      </c>
      <c r="U321" s="5">
        <f t="shared" si="29"/>
        <v>0</v>
      </c>
      <c r="V321" s="4">
        <v>-32</v>
      </c>
      <c r="W321" s="4">
        <v>-18</v>
      </c>
      <c r="X321" s="4">
        <v>-5</v>
      </c>
      <c r="Y321" s="4">
        <v>-11</v>
      </c>
      <c r="Z321" s="4">
        <v>0</v>
      </c>
      <c r="AA321" s="4">
        <v>0</v>
      </c>
      <c r="AB321" s="4">
        <v>0</v>
      </c>
      <c r="AC321" s="4">
        <v>0</v>
      </c>
      <c r="AD321" s="4"/>
      <c r="AE321" s="54">
        <v>1.9905567169189449E-3</v>
      </c>
      <c r="AF321" s="54">
        <v>0.87932479381561279</v>
      </c>
    </row>
    <row r="322" spans="1:32" x14ac:dyDescent="0.2">
      <c r="A322" s="53" t="s">
        <v>2549</v>
      </c>
      <c r="B322" s="53" t="s">
        <v>2548</v>
      </c>
      <c r="C322" s="54" t="s">
        <v>3093</v>
      </c>
      <c r="D322" s="13" t="s">
        <v>402</v>
      </c>
      <c r="E322" s="4" t="s">
        <v>404</v>
      </c>
      <c r="F322" s="4" t="s">
        <v>403</v>
      </c>
      <c r="G322" s="4" t="s">
        <v>211</v>
      </c>
      <c r="H322" s="4">
        <v>2829</v>
      </c>
      <c r="I322" s="5">
        <f t="shared" ref="I322:I385" si="30">H322/H$677*1000000</f>
        <v>2209.0361996144143</v>
      </c>
      <c r="J322" s="4">
        <v>4010</v>
      </c>
      <c r="K322" s="5">
        <f t="shared" ref="K322:K385" si="31">J322/J$677*1000000</f>
        <v>2164.8842812665166</v>
      </c>
      <c r="L322" s="5">
        <v>0</v>
      </c>
      <c r="M322" s="5">
        <v>0</v>
      </c>
      <c r="N322" s="4">
        <v>0</v>
      </c>
      <c r="O322" s="5">
        <f t="shared" ref="O322:O385" si="32">AVERAGE(L322:N322)</f>
        <v>0</v>
      </c>
      <c r="P322" s="4">
        <v>0</v>
      </c>
      <c r="Q322" s="4">
        <v>0</v>
      </c>
      <c r="R322" s="4">
        <v>0</v>
      </c>
      <c r="S322" s="5">
        <f t="shared" ref="S322:S385" si="33">AVERAGE(P322:R322)</f>
        <v>0</v>
      </c>
      <c r="T322" s="5">
        <f t="shared" ref="T322:T385" si="34">K322/I322</f>
        <v>0.9800130399150524</v>
      </c>
      <c r="U322" s="5">
        <f t="shared" ref="U322:U385" si="35">S322/((O322+1)*T322)</f>
        <v>0</v>
      </c>
      <c r="V322" s="4">
        <v>43</v>
      </c>
      <c r="W322" s="4">
        <v>-34</v>
      </c>
      <c r="X322" s="4">
        <v>13</v>
      </c>
      <c r="Y322" s="4">
        <v>-34</v>
      </c>
      <c r="Z322" s="4">
        <v>0</v>
      </c>
      <c r="AA322" s="4">
        <v>0</v>
      </c>
      <c r="AB322" s="4">
        <v>0</v>
      </c>
      <c r="AC322" s="4">
        <v>0</v>
      </c>
      <c r="AD322" s="4"/>
      <c r="AE322" s="54">
        <v>-3.4272670745849609E-4</v>
      </c>
      <c r="AF322" s="54">
        <v>-0.39295980334281921</v>
      </c>
    </row>
    <row r="323" spans="1:32" x14ac:dyDescent="0.2">
      <c r="A323" s="53" t="s">
        <v>2560</v>
      </c>
      <c r="B323" s="53" t="s">
        <v>2559</v>
      </c>
      <c r="C323" s="54" t="s">
        <v>3095</v>
      </c>
      <c r="D323" s="13" t="s">
        <v>2023</v>
      </c>
      <c r="E323" s="4" t="s">
        <v>2025</v>
      </c>
      <c r="F323" s="4" t="s">
        <v>2024</v>
      </c>
      <c r="G323" s="4" t="s">
        <v>164</v>
      </c>
      <c r="H323" s="4">
        <v>2238</v>
      </c>
      <c r="I323" s="5">
        <f t="shared" si="30"/>
        <v>1747.5514368105546</v>
      </c>
      <c r="J323" s="4">
        <v>2803</v>
      </c>
      <c r="K323" s="5">
        <f t="shared" si="31"/>
        <v>1513.2595113192135</v>
      </c>
      <c r="L323" s="5">
        <v>0</v>
      </c>
      <c r="M323" s="5">
        <v>0</v>
      </c>
      <c r="N323" s="4">
        <v>0</v>
      </c>
      <c r="O323" s="5">
        <f t="shared" si="32"/>
        <v>0</v>
      </c>
      <c r="P323" s="4">
        <v>0</v>
      </c>
      <c r="Q323" s="4">
        <v>0</v>
      </c>
      <c r="R323" s="4">
        <v>0</v>
      </c>
      <c r="S323" s="5">
        <f t="shared" si="33"/>
        <v>0</v>
      </c>
      <c r="T323" s="5">
        <f t="shared" si="34"/>
        <v>0.86593131363335096</v>
      </c>
      <c r="U323" s="5">
        <f t="shared" si="35"/>
        <v>0</v>
      </c>
      <c r="V323" s="4">
        <v>29</v>
      </c>
      <c r="W323" s="4">
        <v>-12</v>
      </c>
      <c r="X323" s="4">
        <v>-16</v>
      </c>
      <c r="Y323" s="4">
        <v>-12</v>
      </c>
      <c r="Z323" s="4">
        <v>0</v>
      </c>
      <c r="AA323" s="4">
        <v>0</v>
      </c>
      <c r="AB323" s="4">
        <v>0</v>
      </c>
      <c r="AC323" s="4">
        <v>0</v>
      </c>
      <c r="AD323" s="4"/>
      <c r="AE323" s="54">
        <v>1.30993127822876E-3</v>
      </c>
      <c r="AF323" s="54">
        <v>0.78171879053115845</v>
      </c>
    </row>
    <row r="324" spans="1:32" x14ac:dyDescent="0.2">
      <c r="A324" s="53" t="s">
        <v>2230</v>
      </c>
      <c r="B324" s="53" t="s">
        <v>2229</v>
      </c>
      <c r="C324" s="54" t="s">
        <v>3097</v>
      </c>
      <c r="D324" s="13" t="s">
        <v>2044</v>
      </c>
      <c r="E324" s="4" t="s">
        <v>2046</v>
      </c>
      <c r="F324" s="4" t="s">
        <v>2045</v>
      </c>
      <c r="G324" s="12" t="s">
        <v>22</v>
      </c>
      <c r="H324" s="4">
        <v>586</v>
      </c>
      <c r="I324" s="5">
        <f t="shared" si="30"/>
        <v>457.58049239096738</v>
      </c>
      <c r="J324" s="4">
        <v>2951</v>
      </c>
      <c r="K324" s="5">
        <f t="shared" si="31"/>
        <v>1593.1604773110948</v>
      </c>
      <c r="L324" s="5">
        <v>0</v>
      </c>
      <c r="M324" s="5">
        <v>0</v>
      </c>
      <c r="N324" s="4">
        <v>0</v>
      </c>
      <c r="O324" s="5">
        <f t="shared" si="32"/>
        <v>0</v>
      </c>
      <c r="P324" s="4">
        <v>0</v>
      </c>
      <c r="Q324" s="4">
        <v>0</v>
      </c>
      <c r="R324" s="4">
        <v>0</v>
      </c>
      <c r="S324" s="5">
        <f t="shared" si="33"/>
        <v>0</v>
      </c>
      <c r="T324" s="5">
        <f t="shared" si="34"/>
        <v>3.4817054131535432</v>
      </c>
      <c r="U324" s="5">
        <f t="shared" si="35"/>
        <v>0</v>
      </c>
      <c r="V324" s="4">
        <v>1</v>
      </c>
      <c r="W324" s="4">
        <v>-5</v>
      </c>
      <c r="X324" s="4">
        <v>1</v>
      </c>
      <c r="Y324" s="4">
        <v>-4</v>
      </c>
      <c r="Z324" s="4">
        <v>0</v>
      </c>
      <c r="AA324" s="4">
        <v>0</v>
      </c>
      <c r="AB324" s="4">
        <v>0</v>
      </c>
      <c r="AC324" s="4">
        <v>0</v>
      </c>
      <c r="AD324" s="4"/>
      <c r="AE324" s="54">
        <v>1.6636848449707029E-3</v>
      </c>
      <c r="AF324" s="54">
        <v>0.83002185821533203</v>
      </c>
    </row>
    <row r="325" spans="1:32" x14ac:dyDescent="0.2">
      <c r="A325" s="53" t="s">
        <v>2601</v>
      </c>
      <c r="B325" s="53" t="s">
        <v>2600</v>
      </c>
      <c r="C325" s="54" t="s">
        <v>3098</v>
      </c>
      <c r="D325" s="8" t="s">
        <v>303</v>
      </c>
      <c r="E325" s="9" t="s">
        <v>2599</v>
      </c>
      <c r="F325" s="9" t="s">
        <v>304</v>
      </c>
      <c r="G325" s="4" t="s">
        <v>1436</v>
      </c>
      <c r="H325" s="4">
        <v>480</v>
      </c>
      <c r="I325" s="5">
        <f t="shared" si="30"/>
        <v>374.80995963765247</v>
      </c>
      <c r="J325" s="4">
        <v>4759</v>
      </c>
      <c r="K325" s="5">
        <f t="shared" si="31"/>
        <v>2569.2479537524569</v>
      </c>
      <c r="L325" s="5">
        <v>0</v>
      </c>
      <c r="M325" s="5">
        <v>0</v>
      </c>
      <c r="N325" s="4">
        <v>0</v>
      </c>
      <c r="O325" s="5">
        <f t="shared" si="32"/>
        <v>0</v>
      </c>
      <c r="P325" s="4">
        <v>0</v>
      </c>
      <c r="Q325" s="4">
        <v>0</v>
      </c>
      <c r="R325" s="4">
        <v>0</v>
      </c>
      <c r="S325" s="5">
        <f t="shared" si="33"/>
        <v>0</v>
      </c>
      <c r="T325" s="5">
        <f t="shared" si="34"/>
        <v>6.8548017140106881</v>
      </c>
      <c r="U325" s="5">
        <f t="shared" si="35"/>
        <v>0</v>
      </c>
      <c r="V325" s="4">
        <v>14</v>
      </c>
      <c r="W325" s="4">
        <v>-10</v>
      </c>
      <c r="X325" s="4">
        <v>28</v>
      </c>
      <c r="Y325" s="4">
        <v>-10</v>
      </c>
      <c r="Z325" s="4">
        <v>0</v>
      </c>
      <c r="AA325" s="4">
        <v>0</v>
      </c>
      <c r="AB325" s="4">
        <v>0</v>
      </c>
      <c r="AC325" s="4">
        <v>0</v>
      </c>
      <c r="AD325" s="4"/>
      <c r="AE325" s="54">
        <v>-3.1244754791259771E-4</v>
      </c>
      <c r="AF325" s="54">
        <v>-0.37327557802200317</v>
      </c>
    </row>
    <row r="326" spans="1:32" x14ac:dyDescent="0.2">
      <c r="A326" s="53" t="s">
        <v>2601</v>
      </c>
      <c r="B326" s="53" t="s">
        <v>2611</v>
      </c>
      <c r="C326" s="54" t="s">
        <v>3100</v>
      </c>
      <c r="D326" s="8" t="s">
        <v>311</v>
      </c>
      <c r="E326" s="9" t="s">
        <v>2610</v>
      </c>
      <c r="F326" s="9" t="s">
        <v>312</v>
      </c>
      <c r="G326" s="4" t="s">
        <v>1436</v>
      </c>
      <c r="H326" s="4">
        <v>367</v>
      </c>
      <c r="I326" s="5">
        <f t="shared" si="30"/>
        <v>286.57344830628847</v>
      </c>
      <c r="J326" s="4">
        <v>1918</v>
      </c>
      <c r="K326" s="5">
        <f t="shared" si="31"/>
        <v>1035.4733295434362</v>
      </c>
      <c r="L326" s="5">
        <v>0</v>
      </c>
      <c r="M326" s="5">
        <v>0</v>
      </c>
      <c r="N326" s="4">
        <v>0</v>
      </c>
      <c r="O326" s="5">
        <f t="shared" si="32"/>
        <v>0</v>
      </c>
      <c r="P326" s="4">
        <v>0</v>
      </c>
      <c r="Q326" s="4">
        <v>0</v>
      </c>
      <c r="R326" s="4">
        <v>0</v>
      </c>
      <c r="S326" s="5">
        <f t="shared" si="33"/>
        <v>0</v>
      </c>
      <c r="T326" s="5">
        <f t="shared" si="34"/>
        <v>3.6132912370748556</v>
      </c>
      <c r="U326" s="5">
        <f t="shared" si="35"/>
        <v>0</v>
      </c>
      <c r="V326" s="4">
        <v>-29</v>
      </c>
      <c r="W326" s="4">
        <v>5</v>
      </c>
      <c r="X326" s="4">
        <v>32</v>
      </c>
      <c r="Y326" s="4">
        <v>34</v>
      </c>
      <c r="Z326" s="4">
        <v>0</v>
      </c>
      <c r="AA326" s="4">
        <v>0</v>
      </c>
      <c r="AB326" s="4">
        <v>0</v>
      </c>
      <c r="AC326" s="4">
        <v>0</v>
      </c>
      <c r="AD326" s="4"/>
      <c r="AE326" s="54">
        <v>3.2949447631835938E-4</v>
      </c>
      <c r="AF326" s="54">
        <v>0.39295980334281921</v>
      </c>
    </row>
    <row r="327" spans="1:32" x14ac:dyDescent="0.2">
      <c r="A327" s="53" t="s">
        <v>2601</v>
      </c>
      <c r="B327" s="53" t="s">
        <v>2613</v>
      </c>
      <c r="C327" s="54" t="s">
        <v>3101</v>
      </c>
      <c r="D327" s="8" t="s">
        <v>313</v>
      </c>
      <c r="E327" s="9" t="s">
        <v>2612</v>
      </c>
      <c r="F327" s="9" t="s">
        <v>314</v>
      </c>
      <c r="G327" s="4" t="s">
        <v>1436</v>
      </c>
      <c r="H327" s="4">
        <v>523</v>
      </c>
      <c r="I327" s="5">
        <f t="shared" si="30"/>
        <v>408.38668518852552</v>
      </c>
      <c r="J327" s="4">
        <v>723</v>
      </c>
      <c r="K327" s="5">
        <f t="shared" si="31"/>
        <v>390.3270162981774</v>
      </c>
      <c r="L327" s="5">
        <v>0</v>
      </c>
      <c r="M327" s="5">
        <v>0</v>
      </c>
      <c r="N327" s="4">
        <v>0</v>
      </c>
      <c r="O327" s="5">
        <f t="shared" si="32"/>
        <v>0</v>
      </c>
      <c r="P327" s="4">
        <v>0</v>
      </c>
      <c r="Q327" s="4">
        <v>0</v>
      </c>
      <c r="R327" s="4">
        <v>0</v>
      </c>
      <c r="S327" s="5">
        <f t="shared" si="33"/>
        <v>0</v>
      </c>
      <c r="T327" s="5">
        <f t="shared" si="34"/>
        <v>0.95577801739052504</v>
      </c>
      <c r="U327" s="5">
        <f t="shared" si="35"/>
        <v>0</v>
      </c>
      <c r="V327" s="4">
        <v>-13</v>
      </c>
      <c r="W327" s="4">
        <v>-8</v>
      </c>
      <c r="X327" s="4">
        <v>-13</v>
      </c>
      <c r="Y327" s="4">
        <v>3</v>
      </c>
      <c r="Z327" s="4">
        <v>0</v>
      </c>
      <c r="AA327" s="4">
        <v>0</v>
      </c>
      <c r="AB327" s="4">
        <v>0</v>
      </c>
      <c r="AC327" s="4">
        <v>0</v>
      </c>
      <c r="AD327" s="4"/>
      <c r="AE327" s="54">
        <v>-3.490447998046875E-4</v>
      </c>
      <c r="AF327" s="54">
        <v>-0.40266996622085571</v>
      </c>
    </row>
    <row r="328" spans="1:32" x14ac:dyDescent="0.2">
      <c r="A328" s="53" t="s">
        <v>2601</v>
      </c>
      <c r="B328" s="53" t="s">
        <v>2615</v>
      </c>
      <c r="C328" s="54" t="s">
        <v>3102</v>
      </c>
      <c r="D328" s="8" t="s">
        <v>315</v>
      </c>
      <c r="E328" s="9" t="s">
        <v>2614</v>
      </c>
      <c r="F328" s="9" t="s">
        <v>316</v>
      </c>
      <c r="G328" s="4" t="s">
        <v>1436</v>
      </c>
      <c r="H328" s="4">
        <v>120</v>
      </c>
      <c r="I328" s="5">
        <f t="shared" si="30"/>
        <v>93.702489909413117</v>
      </c>
      <c r="J328" s="4">
        <v>2119</v>
      </c>
      <c r="K328" s="5">
        <f t="shared" si="31"/>
        <v>1143.9874793026806</v>
      </c>
      <c r="L328" s="5">
        <v>0</v>
      </c>
      <c r="M328" s="5">
        <v>0</v>
      </c>
      <c r="N328" s="4">
        <v>0</v>
      </c>
      <c r="O328" s="5">
        <f t="shared" si="32"/>
        <v>0</v>
      </c>
      <c r="P328" s="4">
        <v>0</v>
      </c>
      <c r="Q328" s="4">
        <v>0</v>
      </c>
      <c r="R328" s="4">
        <v>0</v>
      </c>
      <c r="S328" s="5">
        <f t="shared" si="33"/>
        <v>0</v>
      </c>
      <c r="T328" s="5">
        <f t="shared" si="34"/>
        <v>12.208720178179156</v>
      </c>
      <c r="U328" s="5">
        <f t="shared" si="35"/>
        <v>0</v>
      </c>
      <c r="V328" s="4">
        <v>-37</v>
      </c>
      <c r="W328" s="4">
        <v>47</v>
      </c>
      <c r="X328" s="4">
        <v>10</v>
      </c>
      <c r="Y328" s="4">
        <v>9</v>
      </c>
      <c r="Z328" s="4">
        <v>0</v>
      </c>
      <c r="AA328" s="4">
        <v>0</v>
      </c>
      <c r="AB328" s="4">
        <v>0</v>
      </c>
      <c r="AC328" s="4">
        <v>0</v>
      </c>
      <c r="AD328" s="4"/>
      <c r="AE328" s="54">
        <v>1.66022777557373E-3</v>
      </c>
      <c r="AF328" s="54">
        <v>0.83002185821533203</v>
      </c>
    </row>
    <row r="329" spans="1:32" x14ac:dyDescent="0.2">
      <c r="A329" s="53" t="s">
        <v>2601</v>
      </c>
      <c r="B329" s="53" t="s">
        <v>2605</v>
      </c>
      <c r="C329" s="54" t="s">
        <v>3103</v>
      </c>
      <c r="D329" s="8" t="s">
        <v>307</v>
      </c>
      <c r="E329" s="9" t="s">
        <v>2604</v>
      </c>
      <c r="F329" s="9" t="s">
        <v>308</v>
      </c>
      <c r="G329" s="4" t="s">
        <v>1436</v>
      </c>
      <c r="H329" s="4">
        <v>176</v>
      </c>
      <c r="I329" s="5">
        <f t="shared" si="30"/>
        <v>137.43031853380592</v>
      </c>
      <c r="J329" s="4">
        <v>1032</v>
      </c>
      <c r="K329" s="5">
        <f t="shared" si="31"/>
        <v>557.14727637582178</v>
      </c>
      <c r="L329" s="5">
        <v>0</v>
      </c>
      <c r="M329" s="5">
        <v>0</v>
      </c>
      <c r="N329" s="4">
        <v>0</v>
      </c>
      <c r="O329" s="5">
        <f t="shared" si="32"/>
        <v>0</v>
      </c>
      <c r="P329" s="4">
        <v>0</v>
      </c>
      <c r="Q329" s="4">
        <v>0</v>
      </c>
      <c r="R329" s="4">
        <v>0</v>
      </c>
      <c r="S329" s="5">
        <f t="shared" si="33"/>
        <v>0</v>
      </c>
      <c r="T329" s="5">
        <f t="shared" si="34"/>
        <v>4.0540346724057938</v>
      </c>
      <c r="U329" s="5">
        <f t="shared" si="35"/>
        <v>0</v>
      </c>
      <c r="V329" s="4">
        <v>-8</v>
      </c>
      <c r="W329" s="4">
        <v>48</v>
      </c>
      <c r="X329" s="4">
        <v>-15</v>
      </c>
      <c r="Y329" s="4">
        <v>-42</v>
      </c>
      <c r="Z329" s="4">
        <v>0</v>
      </c>
      <c r="AA329" s="4">
        <v>0</v>
      </c>
      <c r="AB329" s="4">
        <v>0</v>
      </c>
      <c r="AC329" s="4">
        <v>0</v>
      </c>
      <c r="AD329" s="4"/>
      <c r="AE329" s="54">
        <v>7.0917606353759766E-4</v>
      </c>
      <c r="AF329" s="54">
        <v>0.58437919616699219</v>
      </c>
    </row>
    <row r="330" spans="1:32" x14ac:dyDescent="0.2">
      <c r="A330" s="53" t="s">
        <v>2601</v>
      </c>
      <c r="B330" s="53" t="s">
        <v>2607</v>
      </c>
      <c r="C330" s="54" t="s">
        <v>3104</v>
      </c>
      <c r="D330" s="8" t="s">
        <v>309</v>
      </c>
      <c r="E330" s="9" t="s">
        <v>2606</v>
      </c>
      <c r="F330" s="9" t="s">
        <v>310</v>
      </c>
      <c r="G330" s="4" t="s">
        <v>1436</v>
      </c>
      <c r="H330" s="4">
        <v>104</v>
      </c>
      <c r="I330" s="5">
        <f t="shared" si="30"/>
        <v>81.208824588158038</v>
      </c>
      <c r="J330" s="4">
        <v>3402</v>
      </c>
      <c r="K330" s="5">
        <f t="shared" si="31"/>
        <v>1836.6424750295985</v>
      </c>
      <c r="L330" s="5">
        <v>0</v>
      </c>
      <c r="M330" s="5">
        <v>0</v>
      </c>
      <c r="N330" s="4">
        <v>0</v>
      </c>
      <c r="O330" s="5">
        <f t="shared" si="32"/>
        <v>0</v>
      </c>
      <c r="P330" s="4">
        <v>0</v>
      </c>
      <c r="Q330" s="4">
        <v>0</v>
      </c>
      <c r="R330" s="4">
        <v>0</v>
      </c>
      <c r="S330" s="5">
        <f t="shared" si="33"/>
        <v>0</v>
      </c>
      <c r="T330" s="5">
        <f t="shared" si="34"/>
        <v>22.616291817347886</v>
      </c>
      <c r="U330" s="5">
        <f t="shared" si="35"/>
        <v>0</v>
      </c>
      <c r="V330" s="4" t="s">
        <v>21</v>
      </c>
      <c r="W330" s="4" t="s">
        <v>21</v>
      </c>
      <c r="X330" s="4" t="s">
        <v>21</v>
      </c>
      <c r="Y330" s="4" t="s">
        <v>21</v>
      </c>
      <c r="Z330" s="10">
        <v>0</v>
      </c>
      <c r="AA330" s="10">
        <v>0</v>
      </c>
      <c r="AB330" s="10">
        <v>0</v>
      </c>
      <c r="AC330" s="10">
        <v>0</v>
      </c>
      <c r="AD330" s="4"/>
      <c r="AE330" s="54">
        <v>1.4005899429321289E-3</v>
      </c>
      <c r="AF330" s="54">
        <v>0.78616505861282349</v>
      </c>
    </row>
    <row r="331" spans="1:32" x14ac:dyDescent="0.2">
      <c r="A331" s="53" t="s">
        <v>2601</v>
      </c>
      <c r="B331" s="53" t="s">
        <v>2609</v>
      </c>
      <c r="C331" s="54" t="s">
        <v>3105</v>
      </c>
      <c r="D331" s="8" t="s">
        <v>25</v>
      </c>
      <c r="E331" s="9" t="s">
        <v>2608</v>
      </c>
      <c r="F331" s="9" t="s">
        <v>26</v>
      </c>
      <c r="G331" s="4" t="s">
        <v>1436</v>
      </c>
      <c r="H331" s="4">
        <v>495</v>
      </c>
      <c r="I331" s="5">
        <f t="shared" si="30"/>
        <v>386.5227708763291</v>
      </c>
      <c r="J331" s="4">
        <v>3715</v>
      </c>
      <c r="K331" s="5">
        <f t="shared" si="31"/>
        <v>2005.6222206745908</v>
      </c>
      <c r="L331" s="5">
        <v>0</v>
      </c>
      <c r="M331" s="5">
        <v>0</v>
      </c>
      <c r="N331" s="4">
        <v>0</v>
      </c>
      <c r="O331" s="5">
        <f t="shared" si="32"/>
        <v>0</v>
      </c>
      <c r="P331" s="4">
        <v>0</v>
      </c>
      <c r="Q331" s="4">
        <v>0</v>
      </c>
      <c r="R331" s="4">
        <v>0</v>
      </c>
      <c r="S331" s="5">
        <f t="shared" si="33"/>
        <v>0</v>
      </c>
      <c r="T331" s="5">
        <f t="shared" si="34"/>
        <v>5.188885032898372</v>
      </c>
      <c r="U331" s="5">
        <f t="shared" si="35"/>
        <v>0</v>
      </c>
      <c r="V331" s="4">
        <v>35</v>
      </c>
      <c r="W331" s="4">
        <v>-14</v>
      </c>
      <c r="X331" s="4">
        <v>-32</v>
      </c>
      <c r="Y331" s="4">
        <v>36</v>
      </c>
      <c r="Z331" s="4">
        <v>0</v>
      </c>
      <c r="AA331" s="4">
        <v>0</v>
      </c>
      <c r="AB331" s="4" t="s">
        <v>21</v>
      </c>
      <c r="AC331" s="4" t="s">
        <v>21</v>
      </c>
      <c r="AD331" s="4"/>
      <c r="AE331" s="54">
        <v>-1.4938116073608401E-3</v>
      </c>
      <c r="AF331" s="54">
        <v>-0.79902827739715576</v>
      </c>
    </row>
    <row r="332" spans="1:32" x14ac:dyDescent="0.2">
      <c r="A332" s="53" t="s">
        <v>2617</v>
      </c>
      <c r="B332" s="53" t="s">
        <v>2616</v>
      </c>
      <c r="C332" s="54" t="s">
        <v>3106</v>
      </c>
      <c r="D332" s="13" t="s">
        <v>1558</v>
      </c>
      <c r="E332" s="4" t="s">
        <v>1560</v>
      </c>
      <c r="F332" s="4" t="s">
        <v>1559</v>
      </c>
      <c r="G332" s="4" t="s">
        <v>1436</v>
      </c>
      <c r="H332" s="4">
        <v>557</v>
      </c>
      <c r="I332" s="5">
        <f t="shared" si="30"/>
        <v>434.93572399619256</v>
      </c>
      <c r="J332" s="4">
        <v>822</v>
      </c>
      <c r="K332" s="5">
        <f t="shared" si="31"/>
        <v>443.77428409004403</v>
      </c>
      <c r="L332" s="5">
        <v>0</v>
      </c>
      <c r="M332" s="5">
        <v>0</v>
      </c>
      <c r="N332" s="4">
        <v>0</v>
      </c>
      <c r="O332" s="5">
        <f t="shared" si="32"/>
        <v>0</v>
      </c>
      <c r="P332" s="4">
        <v>0</v>
      </c>
      <c r="Q332" s="4">
        <v>0</v>
      </c>
      <c r="R332" s="4">
        <v>0</v>
      </c>
      <c r="S332" s="5">
        <f t="shared" si="33"/>
        <v>0</v>
      </c>
      <c r="T332" s="5">
        <f t="shared" si="34"/>
        <v>1.020321531679768</v>
      </c>
      <c r="U332" s="5">
        <f t="shared" si="35"/>
        <v>0</v>
      </c>
      <c r="V332" s="4">
        <v>34</v>
      </c>
      <c r="W332" s="4">
        <v>41</v>
      </c>
      <c r="X332" s="4">
        <v>37</v>
      </c>
      <c r="Y332" s="4">
        <v>34</v>
      </c>
      <c r="Z332" s="4">
        <v>0</v>
      </c>
      <c r="AA332" s="4">
        <v>0</v>
      </c>
      <c r="AB332" s="4">
        <v>0</v>
      </c>
      <c r="AC332" s="4">
        <v>0</v>
      </c>
      <c r="AD332" s="4"/>
      <c r="AE332" s="54">
        <v>8.1166625022888184E-4</v>
      </c>
      <c r="AF332" s="54">
        <v>0.65525186061859131</v>
      </c>
    </row>
    <row r="333" spans="1:32" x14ac:dyDescent="0.2">
      <c r="A333" s="53" t="s">
        <v>2170</v>
      </c>
      <c r="B333" s="53" t="s">
        <v>2171</v>
      </c>
      <c r="C333" s="54" t="s">
        <v>3108</v>
      </c>
      <c r="D333" s="13" t="s">
        <v>1226</v>
      </c>
      <c r="E333" s="4" t="s">
        <v>1228</v>
      </c>
      <c r="F333" s="4" t="s">
        <v>1227</v>
      </c>
      <c r="G333" s="4" t="s">
        <v>77</v>
      </c>
      <c r="H333" s="4">
        <v>1487</v>
      </c>
      <c r="I333" s="5">
        <f t="shared" si="30"/>
        <v>1161.1300207941442</v>
      </c>
      <c r="J333" s="4">
        <v>3741</v>
      </c>
      <c r="K333" s="5">
        <f t="shared" si="31"/>
        <v>2019.6588768623537</v>
      </c>
      <c r="L333" s="5">
        <v>0</v>
      </c>
      <c r="M333" s="5">
        <v>0</v>
      </c>
      <c r="N333" s="4">
        <v>0</v>
      </c>
      <c r="O333" s="5">
        <f t="shared" si="32"/>
        <v>0</v>
      </c>
      <c r="P333" s="4">
        <v>0</v>
      </c>
      <c r="Q333" s="4">
        <v>0</v>
      </c>
      <c r="R333" s="4">
        <v>0</v>
      </c>
      <c r="S333" s="5">
        <f t="shared" si="33"/>
        <v>0</v>
      </c>
      <c r="T333" s="5">
        <f t="shared" si="34"/>
        <v>1.7393908009380608</v>
      </c>
      <c r="U333" s="5">
        <f t="shared" si="35"/>
        <v>0</v>
      </c>
      <c r="V333" s="4">
        <v>-5</v>
      </c>
      <c r="W333" s="4">
        <v>-1</v>
      </c>
      <c r="X333" s="4">
        <v>-4</v>
      </c>
      <c r="Y333" s="4">
        <v>1</v>
      </c>
      <c r="Z333" s="4">
        <v>0</v>
      </c>
      <c r="AA333" s="4">
        <v>0</v>
      </c>
      <c r="AB333" s="4">
        <v>0</v>
      </c>
      <c r="AC333" s="4">
        <v>0</v>
      </c>
      <c r="AD333" s="4"/>
      <c r="AE333" s="54">
        <v>-1.164436340332031E-3</v>
      </c>
      <c r="AF333" s="54">
        <v>-0.74827462434768677</v>
      </c>
    </row>
    <row r="334" spans="1:32" x14ac:dyDescent="0.2">
      <c r="A334" s="53" t="s">
        <v>2675</v>
      </c>
      <c r="B334" s="53" t="s">
        <v>2677</v>
      </c>
      <c r="C334" s="54" t="s">
        <v>3112</v>
      </c>
      <c r="D334" s="13" t="s">
        <v>1304</v>
      </c>
      <c r="E334" s="4" t="s">
        <v>1306</v>
      </c>
      <c r="F334" s="4" t="s">
        <v>1305</v>
      </c>
      <c r="G334" s="4" t="s">
        <v>1561</v>
      </c>
      <c r="H334" s="4">
        <v>4043</v>
      </c>
      <c r="I334" s="5">
        <f t="shared" si="30"/>
        <v>3156.9930558646433</v>
      </c>
      <c r="J334" s="4">
        <v>2303</v>
      </c>
      <c r="K334" s="5">
        <f t="shared" si="31"/>
        <v>1243.3238154006954</v>
      </c>
      <c r="L334" s="5">
        <v>0</v>
      </c>
      <c r="M334" s="5">
        <v>0</v>
      </c>
      <c r="N334" s="4">
        <v>0</v>
      </c>
      <c r="O334" s="5">
        <f t="shared" si="32"/>
        <v>0</v>
      </c>
      <c r="P334" s="4">
        <v>0</v>
      </c>
      <c r="Q334" s="4">
        <v>0</v>
      </c>
      <c r="R334" s="4">
        <v>0</v>
      </c>
      <c r="S334" s="5">
        <f t="shared" si="33"/>
        <v>0</v>
      </c>
      <c r="T334" s="5">
        <f t="shared" si="34"/>
        <v>0.39383165987362978</v>
      </c>
      <c r="U334" s="5">
        <f t="shared" si="35"/>
        <v>0</v>
      </c>
      <c r="V334" s="4">
        <v>-17</v>
      </c>
      <c r="W334" s="4">
        <v>-3</v>
      </c>
      <c r="X334" s="4">
        <v>45</v>
      </c>
      <c r="Y334" s="4">
        <v>-40</v>
      </c>
      <c r="Z334" s="4">
        <v>0</v>
      </c>
      <c r="AA334" s="4">
        <v>0</v>
      </c>
      <c r="AB334" s="4">
        <v>0</v>
      </c>
      <c r="AC334" s="4">
        <v>0</v>
      </c>
      <c r="AD334" s="4"/>
      <c r="AE334" s="54"/>
      <c r="AF334" s="54"/>
    </row>
    <row r="335" spans="1:32" x14ac:dyDescent="0.2">
      <c r="A335" s="53" t="s">
        <v>2654</v>
      </c>
      <c r="B335" s="53" t="s">
        <v>2653</v>
      </c>
      <c r="C335" s="54" t="s">
        <v>3115</v>
      </c>
      <c r="D335" s="13" t="s">
        <v>2040</v>
      </c>
      <c r="E335" s="4" t="s">
        <v>2042</v>
      </c>
      <c r="F335" s="4" t="s">
        <v>2041</v>
      </c>
      <c r="G335" s="4" t="s">
        <v>1436</v>
      </c>
      <c r="H335" s="4">
        <v>827</v>
      </c>
      <c r="I335" s="5">
        <f t="shared" si="30"/>
        <v>645.76632629237213</v>
      </c>
      <c r="J335" s="4">
        <v>3711</v>
      </c>
      <c r="K335" s="5">
        <f t="shared" si="31"/>
        <v>2003.4627351072425</v>
      </c>
      <c r="L335" s="5">
        <v>0</v>
      </c>
      <c r="M335" s="5">
        <v>0</v>
      </c>
      <c r="N335" s="4">
        <v>0</v>
      </c>
      <c r="O335" s="5">
        <f t="shared" si="32"/>
        <v>0</v>
      </c>
      <c r="P335" s="4">
        <v>0</v>
      </c>
      <c r="Q335" s="4">
        <v>0</v>
      </c>
      <c r="R335" s="4">
        <v>0</v>
      </c>
      <c r="S335" s="5">
        <f t="shared" si="33"/>
        <v>0</v>
      </c>
      <c r="T335" s="5">
        <f t="shared" si="34"/>
        <v>3.102457736701759</v>
      </c>
      <c r="U335" s="5">
        <f t="shared" si="35"/>
        <v>0</v>
      </c>
      <c r="V335" s="4">
        <v>49</v>
      </c>
      <c r="W335" s="4">
        <v>-8</v>
      </c>
      <c r="X335" s="4">
        <v>-30</v>
      </c>
      <c r="Y335" s="4">
        <v>-1</v>
      </c>
      <c r="Z335" s="4">
        <v>0</v>
      </c>
      <c r="AA335" s="4">
        <v>0</v>
      </c>
      <c r="AB335" s="4">
        <v>0</v>
      </c>
      <c r="AC335" s="4">
        <v>0</v>
      </c>
      <c r="AD335" s="4"/>
      <c r="AE335" s="54">
        <v>1.108646392822266E-4</v>
      </c>
      <c r="AF335" s="54">
        <v>0.30177533626556402</v>
      </c>
    </row>
    <row r="336" spans="1:32" x14ac:dyDescent="0.2">
      <c r="A336" s="53" t="s">
        <v>2660</v>
      </c>
      <c r="B336" s="53" t="s">
        <v>2659</v>
      </c>
      <c r="C336" s="54" t="s">
        <v>3118</v>
      </c>
      <c r="D336" s="13" t="s">
        <v>803</v>
      </c>
      <c r="E336" s="4" t="s">
        <v>805</v>
      </c>
      <c r="F336" s="4" t="s">
        <v>804</v>
      </c>
      <c r="G336" s="4" t="s">
        <v>1436</v>
      </c>
      <c r="H336" s="4">
        <v>972</v>
      </c>
      <c r="I336" s="5">
        <f t="shared" si="30"/>
        <v>758.99016826624631</v>
      </c>
      <c r="J336" s="4">
        <v>1988</v>
      </c>
      <c r="K336" s="5">
        <f t="shared" si="31"/>
        <v>1073.2643269720286</v>
      </c>
      <c r="L336" s="5">
        <v>0</v>
      </c>
      <c r="M336" s="5">
        <v>0</v>
      </c>
      <c r="N336" s="4">
        <v>0</v>
      </c>
      <c r="O336" s="5">
        <f t="shared" si="32"/>
        <v>0</v>
      </c>
      <c r="P336" s="4">
        <v>0</v>
      </c>
      <c r="Q336" s="4">
        <v>0</v>
      </c>
      <c r="R336" s="4">
        <v>0</v>
      </c>
      <c r="S336" s="5">
        <f t="shared" si="33"/>
        <v>0</v>
      </c>
      <c r="T336" s="5">
        <f t="shared" si="34"/>
        <v>1.4140688138604951</v>
      </c>
      <c r="U336" s="5">
        <f t="shared" si="35"/>
        <v>0</v>
      </c>
      <c r="V336" s="4">
        <v>41</v>
      </c>
      <c r="W336" s="4">
        <v>17</v>
      </c>
      <c r="X336" s="4">
        <v>-50</v>
      </c>
      <c r="Y336" s="4">
        <v>41</v>
      </c>
      <c r="Z336" s="4">
        <v>0</v>
      </c>
      <c r="AA336" s="4">
        <v>0</v>
      </c>
      <c r="AB336" s="4">
        <v>0</v>
      </c>
      <c r="AC336" s="4">
        <v>0</v>
      </c>
      <c r="AD336" s="4"/>
      <c r="AE336" s="54">
        <v>4.2366981506347662E-4</v>
      </c>
      <c r="AF336" s="54">
        <v>0.44984942674636841</v>
      </c>
    </row>
    <row r="337" spans="1:32" x14ac:dyDescent="0.2">
      <c r="A337" s="53" t="s">
        <v>2844</v>
      </c>
      <c r="B337" s="53" t="s">
        <v>2846</v>
      </c>
      <c r="C337" s="54" t="s">
        <v>3119</v>
      </c>
      <c r="D337" s="8" t="s">
        <v>382</v>
      </c>
      <c r="E337" s="9" t="s">
        <v>384</v>
      </c>
      <c r="F337" s="9" t="s">
        <v>383</v>
      </c>
      <c r="G337" s="4" t="s">
        <v>2050</v>
      </c>
      <c r="H337" s="4">
        <v>135</v>
      </c>
      <c r="I337" s="5">
        <f t="shared" si="30"/>
        <v>105.41530114808977</v>
      </c>
      <c r="J337" s="4">
        <v>3117</v>
      </c>
      <c r="K337" s="5">
        <f t="shared" si="31"/>
        <v>1682.779128356043</v>
      </c>
      <c r="L337" s="5">
        <v>0</v>
      </c>
      <c r="M337" s="5">
        <v>0</v>
      </c>
      <c r="N337" s="4">
        <v>0</v>
      </c>
      <c r="O337" s="5">
        <f t="shared" si="32"/>
        <v>0</v>
      </c>
      <c r="P337" s="4">
        <v>0</v>
      </c>
      <c r="Q337" s="4">
        <v>0</v>
      </c>
      <c r="R337" s="4">
        <v>0</v>
      </c>
      <c r="S337" s="5">
        <f t="shared" si="33"/>
        <v>0</v>
      </c>
      <c r="T337" s="5">
        <f t="shared" si="34"/>
        <v>15.963328947778058</v>
      </c>
      <c r="U337" s="5">
        <f t="shared" si="35"/>
        <v>0</v>
      </c>
      <c r="V337" s="4" t="s">
        <v>21</v>
      </c>
      <c r="W337" s="4">
        <v>481</v>
      </c>
      <c r="X337" s="4" t="s">
        <v>21</v>
      </c>
      <c r="Y337" s="4" t="s">
        <v>21</v>
      </c>
      <c r="Z337" s="4">
        <v>0</v>
      </c>
      <c r="AA337" s="4">
        <v>0</v>
      </c>
      <c r="AB337" s="4">
        <v>0</v>
      </c>
      <c r="AC337" s="4">
        <v>0</v>
      </c>
      <c r="AD337" s="4"/>
      <c r="AE337" s="54">
        <v>-7.1740150451660156E-4</v>
      </c>
      <c r="AF337" s="54">
        <v>-0.62108355760574341</v>
      </c>
    </row>
    <row r="338" spans="1:32" x14ac:dyDescent="0.2">
      <c r="A338" s="53" t="s">
        <v>2844</v>
      </c>
      <c r="B338" s="53" t="s">
        <v>2847</v>
      </c>
      <c r="C338" s="54" t="s">
        <v>3120</v>
      </c>
      <c r="D338" s="8" t="s">
        <v>385</v>
      </c>
      <c r="E338" s="9" t="s">
        <v>387</v>
      </c>
      <c r="F338" s="9" t="s">
        <v>386</v>
      </c>
      <c r="G338" s="4" t="s">
        <v>2050</v>
      </c>
      <c r="H338" s="4">
        <v>589</v>
      </c>
      <c r="I338" s="5">
        <f t="shared" si="30"/>
        <v>459.92305463870275</v>
      </c>
      <c r="J338" s="4">
        <v>670</v>
      </c>
      <c r="K338" s="5">
        <f t="shared" si="31"/>
        <v>361.7138325308145</v>
      </c>
      <c r="L338" s="5">
        <v>0</v>
      </c>
      <c r="M338" s="5">
        <v>0</v>
      </c>
      <c r="N338" s="4">
        <v>0</v>
      </c>
      <c r="O338" s="5">
        <f t="shared" si="32"/>
        <v>0</v>
      </c>
      <c r="P338" s="4">
        <v>0</v>
      </c>
      <c r="Q338" s="4">
        <v>0</v>
      </c>
      <c r="R338" s="4">
        <v>0</v>
      </c>
      <c r="S338" s="5">
        <f t="shared" si="33"/>
        <v>0</v>
      </c>
      <c r="T338" s="5">
        <f t="shared" si="34"/>
        <v>0.78646597269398133</v>
      </c>
      <c r="U338" s="5">
        <f t="shared" si="35"/>
        <v>0</v>
      </c>
      <c r="V338" s="4" t="s">
        <v>21</v>
      </c>
      <c r="W338" s="4" t="s">
        <v>21</v>
      </c>
      <c r="X338" s="4" t="s">
        <v>21</v>
      </c>
      <c r="Y338" s="4" t="s">
        <v>21</v>
      </c>
      <c r="Z338" s="4">
        <v>0</v>
      </c>
      <c r="AA338" s="4">
        <v>0</v>
      </c>
      <c r="AB338" s="4">
        <v>0</v>
      </c>
      <c r="AC338" s="4">
        <v>0</v>
      </c>
      <c r="AD338" s="4"/>
      <c r="AE338" s="54">
        <v>7.1913003921508789E-4</v>
      </c>
      <c r="AF338" s="54">
        <v>0.62811887264251709</v>
      </c>
    </row>
    <row r="339" spans="1:32" x14ac:dyDescent="0.2">
      <c r="A339" s="53" t="s">
        <v>2844</v>
      </c>
      <c r="B339" s="53" t="s">
        <v>2843</v>
      </c>
      <c r="C339" s="54" t="s">
        <v>3121</v>
      </c>
      <c r="D339" s="13" t="s">
        <v>2019</v>
      </c>
      <c r="E339" s="4" t="s">
        <v>2021</v>
      </c>
      <c r="F339" s="4" t="s">
        <v>2020</v>
      </c>
      <c r="G339" s="4" t="s">
        <v>2050</v>
      </c>
      <c r="H339" s="4">
        <v>2094</v>
      </c>
      <c r="I339" s="5">
        <f t="shared" si="30"/>
        <v>1635.108448919259</v>
      </c>
      <c r="J339" s="4">
        <v>4484</v>
      </c>
      <c r="K339" s="5">
        <f t="shared" si="31"/>
        <v>2420.7833209972719</v>
      </c>
      <c r="L339" s="5">
        <v>0</v>
      </c>
      <c r="M339" s="5">
        <v>0</v>
      </c>
      <c r="N339" s="4">
        <v>0</v>
      </c>
      <c r="O339" s="5">
        <f t="shared" si="32"/>
        <v>0</v>
      </c>
      <c r="P339" s="4">
        <v>0</v>
      </c>
      <c r="Q339" s="4">
        <v>0</v>
      </c>
      <c r="R339" s="4">
        <v>0</v>
      </c>
      <c r="S339" s="5">
        <f t="shared" si="33"/>
        <v>0</v>
      </c>
      <c r="T339" s="5">
        <f t="shared" si="34"/>
        <v>1.480503218362863</v>
      </c>
      <c r="U339" s="5">
        <f t="shared" si="35"/>
        <v>0</v>
      </c>
      <c r="V339" s="4">
        <v>-44</v>
      </c>
      <c r="W339" s="4">
        <v>47</v>
      </c>
      <c r="X339" s="4">
        <v>2</v>
      </c>
      <c r="Y339" s="4">
        <v>-45</v>
      </c>
      <c r="Z339" s="4">
        <v>0</v>
      </c>
      <c r="AA339" s="4">
        <v>0</v>
      </c>
      <c r="AB339" s="4">
        <v>0</v>
      </c>
      <c r="AC339" s="4">
        <v>0</v>
      </c>
      <c r="AD339" s="4"/>
      <c r="AE339" s="54">
        <v>8.1479549407958984E-5</v>
      </c>
      <c r="AF339" s="54">
        <v>0.25927191972732538</v>
      </c>
    </row>
    <row r="340" spans="1:32" x14ac:dyDescent="0.2">
      <c r="A340" s="53" t="s">
        <v>2234</v>
      </c>
      <c r="B340" s="53" t="s">
        <v>2233</v>
      </c>
      <c r="C340" s="54" t="s">
        <v>3123</v>
      </c>
      <c r="D340" s="8" t="s">
        <v>2027</v>
      </c>
      <c r="E340" s="9" t="s">
        <v>2029</v>
      </c>
      <c r="F340" s="4" t="s">
        <v>2028</v>
      </c>
      <c r="G340" s="4" t="s">
        <v>401</v>
      </c>
      <c r="H340" s="4">
        <v>1823</v>
      </c>
      <c r="I340" s="5">
        <f t="shared" si="30"/>
        <v>1423.496992540501</v>
      </c>
      <c r="J340" s="4">
        <v>498</v>
      </c>
      <c r="K340" s="5">
        <f t="shared" si="31"/>
        <v>268.85595313484424</v>
      </c>
      <c r="L340" s="5">
        <v>0</v>
      </c>
      <c r="M340" s="5">
        <v>0</v>
      </c>
      <c r="N340" s="4">
        <v>0</v>
      </c>
      <c r="O340" s="5">
        <f t="shared" si="32"/>
        <v>0</v>
      </c>
      <c r="P340" s="4">
        <v>0</v>
      </c>
      <c r="Q340" s="4">
        <v>0</v>
      </c>
      <c r="R340" s="4">
        <v>0</v>
      </c>
      <c r="S340" s="5">
        <f t="shared" si="33"/>
        <v>0</v>
      </c>
      <c r="T340" s="5">
        <f t="shared" si="34"/>
        <v>0.18887005349763311</v>
      </c>
      <c r="U340" s="5">
        <f t="shared" si="35"/>
        <v>0</v>
      </c>
      <c r="V340" s="4">
        <v>11</v>
      </c>
      <c r="W340" s="4">
        <v>4</v>
      </c>
      <c r="X340" s="4">
        <v>3</v>
      </c>
      <c r="Y340" s="4">
        <v>-8</v>
      </c>
      <c r="Z340" s="4">
        <v>0</v>
      </c>
      <c r="AA340" s="4">
        <v>0</v>
      </c>
      <c r="AB340" s="4">
        <v>0</v>
      </c>
      <c r="AC340" s="4">
        <v>0</v>
      </c>
      <c r="AD340" s="4"/>
      <c r="AE340" s="54">
        <v>7.9631805419921875E-4</v>
      </c>
      <c r="AF340" s="54">
        <v>0.62108355760574341</v>
      </c>
    </row>
    <row r="341" spans="1:32" x14ac:dyDescent="0.2">
      <c r="A341" s="53" t="s">
        <v>2850</v>
      </c>
      <c r="B341" s="53" t="s">
        <v>2849</v>
      </c>
      <c r="C341" s="54" t="s">
        <v>3124</v>
      </c>
      <c r="D341" s="8" t="s">
        <v>388</v>
      </c>
      <c r="E341" s="9" t="s">
        <v>390</v>
      </c>
      <c r="F341" s="9" t="s">
        <v>389</v>
      </c>
      <c r="G341" s="4" t="s">
        <v>2050</v>
      </c>
      <c r="H341" s="4">
        <v>2152</v>
      </c>
      <c r="I341" s="5">
        <f t="shared" si="30"/>
        <v>1680.3979857088086</v>
      </c>
      <c r="J341" s="4">
        <v>3834</v>
      </c>
      <c r="K341" s="5">
        <f t="shared" si="31"/>
        <v>2069.8669163031982</v>
      </c>
      <c r="L341" s="5">
        <v>0</v>
      </c>
      <c r="M341" s="5">
        <v>0</v>
      </c>
      <c r="N341" s="4">
        <v>0</v>
      </c>
      <c r="O341" s="5">
        <f t="shared" si="32"/>
        <v>0</v>
      </c>
      <c r="P341" s="4">
        <v>0</v>
      </c>
      <c r="Q341" s="4">
        <v>0</v>
      </c>
      <c r="R341" s="4">
        <v>0</v>
      </c>
      <c r="S341" s="5">
        <f t="shared" si="33"/>
        <v>0</v>
      </c>
      <c r="T341" s="5">
        <f t="shared" si="34"/>
        <v>1.2317718385208059</v>
      </c>
      <c r="U341" s="5">
        <f t="shared" si="35"/>
        <v>0</v>
      </c>
      <c r="V341" s="4" t="s">
        <v>21</v>
      </c>
      <c r="W341" s="4" t="s">
        <v>21</v>
      </c>
      <c r="X341" s="4" t="s">
        <v>21</v>
      </c>
      <c r="Y341" s="4" t="s">
        <v>21</v>
      </c>
      <c r="Z341" s="4">
        <v>0</v>
      </c>
      <c r="AA341" s="4">
        <v>0</v>
      </c>
      <c r="AB341" s="4">
        <v>0</v>
      </c>
      <c r="AC341" s="4">
        <v>0</v>
      </c>
      <c r="AD341" s="4"/>
      <c r="AE341" s="54">
        <v>-4.4221758842468262E-2</v>
      </c>
      <c r="AF341" s="54">
        <v>-0.9998210072517395</v>
      </c>
    </row>
    <row r="342" spans="1:32" x14ac:dyDescent="0.2">
      <c r="A342" s="53" t="s">
        <v>2850</v>
      </c>
      <c r="B342" s="53" t="s">
        <v>2851</v>
      </c>
      <c r="C342" s="54" t="s">
        <v>3125</v>
      </c>
      <c r="D342" s="8" t="s">
        <v>391</v>
      </c>
      <c r="E342" s="9" t="s">
        <v>393</v>
      </c>
      <c r="F342" s="9" t="s">
        <v>392</v>
      </c>
      <c r="G342" s="4" t="s">
        <v>2050</v>
      </c>
      <c r="H342" s="4">
        <v>2647</v>
      </c>
      <c r="I342" s="5">
        <f t="shared" si="30"/>
        <v>2066.920756585138</v>
      </c>
      <c r="J342" s="4">
        <v>3350</v>
      </c>
      <c r="K342" s="5">
        <f t="shared" si="31"/>
        <v>1808.5691626540727</v>
      </c>
      <c r="L342" s="5">
        <v>0</v>
      </c>
      <c r="M342" s="5">
        <v>0</v>
      </c>
      <c r="N342" s="4">
        <v>0</v>
      </c>
      <c r="O342" s="5">
        <f t="shared" si="32"/>
        <v>0</v>
      </c>
      <c r="P342" s="4">
        <v>0</v>
      </c>
      <c r="Q342" s="4">
        <v>0</v>
      </c>
      <c r="R342" s="4">
        <v>0</v>
      </c>
      <c r="S342" s="5">
        <f t="shared" si="33"/>
        <v>0</v>
      </c>
      <c r="T342" s="5">
        <f t="shared" si="34"/>
        <v>0.87500653176568766</v>
      </c>
      <c r="U342" s="5">
        <f t="shared" si="35"/>
        <v>0</v>
      </c>
      <c r="V342" s="4">
        <v>-14</v>
      </c>
      <c r="W342" s="4">
        <v>23</v>
      </c>
      <c r="X342" s="4">
        <v>25</v>
      </c>
      <c r="Y342" s="4">
        <v>3</v>
      </c>
      <c r="Z342" s="4">
        <v>0</v>
      </c>
      <c r="AA342" s="4">
        <v>0</v>
      </c>
      <c r="AB342" s="4">
        <v>0</v>
      </c>
      <c r="AC342" s="4">
        <v>0</v>
      </c>
      <c r="AD342" s="4"/>
      <c r="AE342" s="54">
        <v>1.151561737060547E-4</v>
      </c>
      <c r="AF342" s="54">
        <v>0.30177533626556402</v>
      </c>
    </row>
    <row r="343" spans="1:32" x14ac:dyDescent="0.2">
      <c r="A343" s="53" t="s">
        <v>2850</v>
      </c>
      <c r="B343" s="53" t="s">
        <v>2852</v>
      </c>
      <c r="C343" s="54" t="s">
        <v>3126</v>
      </c>
      <c r="D343" s="8" t="s">
        <v>394</v>
      </c>
      <c r="E343" s="9" t="s">
        <v>396</v>
      </c>
      <c r="F343" s="9" t="s">
        <v>395</v>
      </c>
      <c r="G343" s="4" t="s">
        <v>2050</v>
      </c>
      <c r="H343" s="4">
        <v>3364</v>
      </c>
      <c r="I343" s="5">
        <f t="shared" si="30"/>
        <v>2626.7931337938812</v>
      </c>
      <c r="J343" s="4">
        <v>3865</v>
      </c>
      <c r="K343" s="5">
        <f t="shared" si="31"/>
        <v>2086.6029294501463</v>
      </c>
      <c r="L343" s="5">
        <v>0</v>
      </c>
      <c r="M343" s="5">
        <v>0</v>
      </c>
      <c r="N343" s="4">
        <v>0</v>
      </c>
      <c r="O343" s="5">
        <f t="shared" si="32"/>
        <v>0</v>
      </c>
      <c r="P343" s="4">
        <v>0</v>
      </c>
      <c r="Q343" s="4">
        <v>0</v>
      </c>
      <c r="R343" s="4">
        <v>0</v>
      </c>
      <c r="S343" s="5">
        <f t="shared" si="33"/>
        <v>0</v>
      </c>
      <c r="T343" s="5">
        <f t="shared" si="34"/>
        <v>0.79435373216331762</v>
      </c>
      <c r="U343" s="5">
        <f t="shared" si="35"/>
        <v>0</v>
      </c>
      <c r="V343" s="4">
        <v>35</v>
      </c>
      <c r="W343" s="4">
        <v>20</v>
      </c>
      <c r="X343" s="4">
        <v>3</v>
      </c>
      <c r="Y343" s="4">
        <v>1</v>
      </c>
      <c r="Z343" s="4">
        <v>0</v>
      </c>
      <c r="AA343" s="4">
        <v>0</v>
      </c>
      <c r="AB343" s="4">
        <v>0</v>
      </c>
      <c r="AC343" s="4">
        <v>0</v>
      </c>
      <c r="AD343" s="4"/>
      <c r="AE343" s="54">
        <v>6.0141086578369141E-4</v>
      </c>
      <c r="AF343" s="54">
        <v>0.58437919616699219</v>
      </c>
    </row>
    <row r="344" spans="1:32" x14ac:dyDescent="0.2">
      <c r="A344" s="53" t="s">
        <v>2590</v>
      </c>
      <c r="B344" s="53" t="s">
        <v>2594</v>
      </c>
      <c r="C344" s="54" t="s">
        <v>3127</v>
      </c>
      <c r="D344" s="13" t="s">
        <v>199</v>
      </c>
      <c r="E344" s="4" t="s">
        <v>201</v>
      </c>
      <c r="F344" s="4" t="s">
        <v>200</v>
      </c>
      <c r="G344" s="4" t="s">
        <v>17</v>
      </c>
      <c r="H344" s="4">
        <v>761</v>
      </c>
      <c r="I344" s="5">
        <f t="shared" si="30"/>
        <v>594.22995684219484</v>
      </c>
      <c r="J344" s="4">
        <v>4210</v>
      </c>
      <c r="K344" s="5">
        <f t="shared" si="31"/>
        <v>2272.858559633924</v>
      </c>
      <c r="L344" s="5">
        <v>0</v>
      </c>
      <c r="M344" s="5">
        <v>0</v>
      </c>
      <c r="N344" s="4">
        <v>0</v>
      </c>
      <c r="O344" s="5">
        <f t="shared" si="32"/>
        <v>0</v>
      </c>
      <c r="P344" s="4">
        <v>0</v>
      </c>
      <c r="Q344" s="4">
        <v>0</v>
      </c>
      <c r="R344" s="4">
        <v>0</v>
      </c>
      <c r="S344" s="5">
        <f t="shared" si="33"/>
        <v>0</v>
      </c>
      <c r="T344" s="5">
        <f t="shared" si="34"/>
        <v>3.8248804750809793</v>
      </c>
      <c r="U344" s="5">
        <f t="shared" si="35"/>
        <v>0</v>
      </c>
      <c r="V344" s="4">
        <v>-6</v>
      </c>
      <c r="W344" s="4">
        <v>25</v>
      </c>
      <c r="X344" s="4">
        <v>-28</v>
      </c>
      <c r="Y344" s="4">
        <v>-20</v>
      </c>
      <c r="Z344" s="4">
        <v>0</v>
      </c>
      <c r="AA344" s="4">
        <v>0.02</v>
      </c>
      <c r="AB344" s="4">
        <v>0</v>
      </c>
      <c r="AC344" s="4">
        <v>0</v>
      </c>
      <c r="AD344" s="4"/>
      <c r="AE344" s="54">
        <v>1.460075378417969E-3</v>
      </c>
      <c r="AF344" s="54">
        <v>0.81119948625564575</v>
      </c>
    </row>
    <row r="345" spans="1:32" x14ac:dyDescent="0.2">
      <c r="A345" s="53" t="s">
        <v>2590</v>
      </c>
      <c r="B345" s="53" t="s">
        <v>2595</v>
      </c>
      <c r="C345" s="54" t="s">
        <v>3129</v>
      </c>
      <c r="D345" s="13" t="s">
        <v>739</v>
      </c>
      <c r="E345" s="4" t="s">
        <v>741</v>
      </c>
      <c r="F345" s="4" t="s">
        <v>740</v>
      </c>
      <c r="G345" s="4" t="s">
        <v>211</v>
      </c>
      <c r="H345" s="4">
        <v>3972</v>
      </c>
      <c r="I345" s="5">
        <f t="shared" si="30"/>
        <v>3101.5524160015743</v>
      </c>
      <c r="J345" s="4">
        <v>4336</v>
      </c>
      <c r="K345" s="5">
        <f t="shared" si="31"/>
        <v>2340.8823550053908</v>
      </c>
      <c r="L345" s="5">
        <v>0</v>
      </c>
      <c r="M345" s="5">
        <v>0</v>
      </c>
      <c r="N345" s="4">
        <v>0</v>
      </c>
      <c r="O345" s="5">
        <f t="shared" si="32"/>
        <v>0</v>
      </c>
      <c r="P345" s="4">
        <v>0</v>
      </c>
      <c r="Q345" s="4">
        <v>0</v>
      </c>
      <c r="R345" s="4">
        <v>0</v>
      </c>
      <c r="S345" s="5">
        <f t="shared" si="33"/>
        <v>0</v>
      </c>
      <c r="T345" s="5">
        <f t="shared" si="34"/>
        <v>0.75474537941976294</v>
      </c>
      <c r="U345" s="5">
        <f t="shared" si="35"/>
        <v>0</v>
      </c>
      <c r="V345" s="4">
        <v>13</v>
      </c>
      <c r="W345" s="4">
        <v>-15</v>
      </c>
      <c r="X345" s="4">
        <v>-22</v>
      </c>
      <c r="Y345" s="4">
        <v>26</v>
      </c>
      <c r="Z345" s="4">
        <v>0</v>
      </c>
      <c r="AA345" s="4">
        <v>0</v>
      </c>
      <c r="AB345" s="4">
        <v>0</v>
      </c>
      <c r="AC345" s="4">
        <v>0</v>
      </c>
      <c r="AD345" s="4"/>
      <c r="AE345" s="54">
        <v>-3.13568115234375E-3</v>
      </c>
      <c r="AF345" s="54">
        <v>-0.95242816209793091</v>
      </c>
    </row>
    <row r="346" spans="1:32" x14ac:dyDescent="0.2">
      <c r="A346" s="53" t="s">
        <v>2590</v>
      </c>
      <c r="B346" s="53" t="s">
        <v>2589</v>
      </c>
      <c r="C346" s="54" t="s">
        <v>3130</v>
      </c>
      <c r="D346" s="13" t="s">
        <v>733</v>
      </c>
      <c r="E346" s="4" t="s">
        <v>735</v>
      </c>
      <c r="F346" s="4" t="s">
        <v>734</v>
      </c>
      <c r="G346" s="4" t="s">
        <v>1387</v>
      </c>
      <c r="H346" s="4">
        <v>1269</v>
      </c>
      <c r="I346" s="5">
        <f t="shared" si="30"/>
        <v>990.90383079204366</v>
      </c>
      <c r="J346" s="4">
        <v>1297</v>
      </c>
      <c r="K346" s="5">
        <f t="shared" si="31"/>
        <v>700.21319521263638</v>
      </c>
      <c r="L346" s="5">
        <v>0</v>
      </c>
      <c r="M346" s="5">
        <v>0</v>
      </c>
      <c r="N346" s="4">
        <v>0</v>
      </c>
      <c r="O346" s="5">
        <f t="shared" si="32"/>
        <v>0</v>
      </c>
      <c r="P346" s="4">
        <v>0</v>
      </c>
      <c r="Q346" s="4">
        <v>0</v>
      </c>
      <c r="R346" s="4">
        <v>0</v>
      </c>
      <c r="S346" s="5">
        <f t="shared" si="33"/>
        <v>0</v>
      </c>
      <c r="T346" s="5">
        <f t="shared" si="34"/>
        <v>0.70664092059564032</v>
      </c>
      <c r="U346" s="5">
        <f t="shared" si="35"/>
        <v>0</v>
      </c>
      <c r="V346" s="4">
        <v>-22</v>
      </c>
      <c r="W346" s="4">
        <v>-1</v>
      </c>
      <c r="X346" s="4">
        <v>21</v>
      </c>
      <c r="Y346" s="4">
        <v>42</v>
      </c>
      <c r="Z346" s="4">
        <v>0</v>
      </c>
      <c r="AA346" s="4">
        <v>0</v>
      </c>
      <c r="AB346" s="4">
        <v>0</v>
      </c>
      <c r="AC346" s="4">
        <v>0</v>
      </c>
      <c r="AD346" s="4"/>
      <c r="AE346" s="54">
        <v>-1.7454624176025391E-3</v>
      </c>
      <c r="AF346" s="54">
        <v>-0.85035198926925659</v>
      </c>
    </row>
    <row r="347" spans="1:32" x14ac:dyDescent="0.2">
      <c r="A347" s="53" t="s">
        <v>2590</v>
      </c>
      <c r="B347" s="53" t="s">
        <v>2591</v>
      </c>
      <c r="C347" s="54" t="s">
        <v>3131</v>
      </c>
      <c r="D347" s="13" t="s">
        <v>2034</v>
      </c>
      <c r="E347" s="4" t="s">
        <v>2036</v>
      </c>
      <c r="F347" s="4" t="s">
        <v>2035</v>
      </c>
      <c r="G347" s="4" t="s">
        <v>1387</v>
      </c>
      <c r="H347" s="4">
        <v>6499</v>
      </c>
      <c r="I347" s="5">
        <f t="shared" si="30"/>
        <v>5074.7706826772983</v>
      </c>
      <c r="J347" s="4">
        <v>630</v>
      </c>
      <c r="K347" s="5">
        <f t="shared" si="31"/>
        <v>340.11897685733305</v>
      </c>
      <c r="L347" s="5">
        <v>0</v>
      </c>
      <c r="M347" s="5">
        <v>0</v>
      </c>
      <c r="N347" s="4">
        <v>0</v>
      </c>
      <c r="O347" s="5">
        <f t="shared" si="32"/>
        <v>0</v>
      </c>
      <c r="P347" s="4">
        <v>0</v>
      </c>
      <c r="Q347" s="4">
        <v>0</v>
      </c>
      <c r="R347" s="4">
        <v>0</v>
      </c>
      <c r="S347" s="5">
        <f t="shared" si="33"/>
        <v>0</v>
      </c>
      <c r="T347" s="5">
        <f t="shared" si="34"/>
        <v>6.7021546021444334E-2</v>
      </c>
      <c r="U347" s="5">
        <f t="shared" si="35"/>
        <v>0</v>
      </c>
      <c r="V347" s="4">
        <v>21</v>
      </c>
      <c r="W347" s="4">
        <v>-3</v>
      </c>
      <c r="X347" s="4">
        <v>-24</v>
      </c>
      <c r="Y347" s="4">
        <v>-3</v>
      </c>
      <c r="Z347" s="4">
        <v>0</v>
      </c>
      <c r="AA347" s="4">
        <v>0</v>
      </c>
      <c r="AB347" s="4">
        <v>0</v>
      </c>
      <c r="AC347" s="4">
        <v>0</v>
      </c>
      <c r="AD347" s="4"/>
      <c r="AE347" s="54">
        <v>2.0503997802734379E-3</v>
      </c>
      <c r="AF347" s="54">
        <v>0.88693869113922119</v>
      </c>
    </row>
    <row r="348" spans="1:32" x14ac:dyDescent="0.2">
      <c r="A348" s="53" t="s">
        <v>2590</v>
      </c>
      <c r="B348" s="53" t="s">
        <v>2592</v>
      </c>
      <c r="C348" s="54" t="s">
        <v>3132</v>
      </c>
      <c r="D348" s="13" t="s">
        <v>2037</v>
      </c>
      <c r="E348" s="4" t="s">
        <v>2039</v>
      </c>
      <c r="F348" s="4" t="s">
        <v>2038</v>
      </c>
      <c r="G348" s="4" t="s">
        <v>1387</v>
      </c>
      <c r="H348" s="4">
        <v>317</v>
      </c>
      <c r="I348" s="5">
        <f t="shared" si="30"/>
        <v>247.5307441773663</v>
      </c>
      <c r="J348" s="4">
        <v>4203</v>
      </c>
      <c r="K348" s="5">
        <f t="shared" si="31"/>
        <v>2269.0794598910647</v>
      </c>
      <c r="L348" s="5">
        <v>0</v>
      </c>
      <c r="M348" s="5">
        <v>0</v>
      </c>
      <c r="N348" s="4">
        <v>0</v>
      </c>
      <c r="O348" s="5">
        <f t="shared" si="32"/>
        <v>0</v>
      </c>
      <c r="P348" s="4">
        <v>0</v>
      </c>
      <c r="Q348" s="4">
        <v>0</v>
      </c>
      <c r="R348" s="4">
        <v>0</v>
      </c>
      <c r="S348" s="5">
        <f t="shared" si="33"/>
        <v>0</v>
      </c>
      <c r="T348" s="5">
        <f t="shared" si="34"/>
        <v>9.1668591205994705</v>
      </c>
      <c r="U348" s="5">
        <f t="shared" si="35"/>
        <v>0</v>
      </c>
      <c r="V348" s="4">
        <v>-9</v>
      </c>
      <c r="W348" s="4">
        <v>-14</v>
      </c>
      <c r="X348" s="4">
        <v>-32</v>
      </c>
      <c r="Y348" s="4">
        <v>-13</v>
      </c>
      <c r="Z348" s="4">
        <v>0</v>
      </c>
      <c r="AA348" s="4">
        <v>0</v>
      </c>
      <c r="AB348" s="4">
        <v>0</v>
      </c>
      <c r="AC348" s="4">
        <v>0</v>
      </c>
      <c r="AD348" s="4"/>
      <c r="AE348" s="54">
        <v>-0.18588972091674799</v>
      </c>
      <c r="AF348" s="54">
        <v>-0.99997997283935547</v>
      </c>
    </row>
    <row r="349" spans="1:32" x14ac:dyDescent="0.2">
      <c r="A349" s="53" t="s">
        <v>2590</v>
      </c>
      <c r="B349" s="53" t="s">
        <v>2593</v>
      </c>
      <c r="C349" s="54" t="s">
        <v>3133</v>
      </c>
      <c r="D349" s="13" t="s">
        <v>736</v>
      </c>
      <c r="E349" s="4" t="s">
        <v>738</v>
      </c>
      <c r="F349" s="4" t="s">
        <v>737</v>
      </c>
      <c r="G349" s="4" t="s">
        <v>1387</v>
      </c>
      <c r="H349" s="4">
        <v>626</v>
      </c>
      <c r="I349" s="5">
        <f t="shared" si="30"/>
        <v>488.81465569410511</v>
      </c>
      <c r="J349" s="4">
        <v>5110</v>
      </c>
      <c r="K349" s="5">
        <f t="shared" si="31"/>
        <v>2758.7428122872566</v>
      </c>
      <c r="L349" s="5">
        <v>0</v>
      </c>
      <c r="M349" s="5">
        <v>0</v>
      </c>
      <c r="N349" s="4">
        <v>0</v>
      </c>
      <c r="O349" s="5">
        <f t="shared" si="32"/>
        <v>0</v>
      </c>
      <c r="P349" s="4">
        <v>0</v>
      </c>
      <c r="Q349" s="4">
        <v>0</v>
      </c>
      <c r="R349" s="4">
        <v>0</v>
      </c>
      <c r="S349" s="5">
        <f t="shared" si="33"/>
        <v>0</v>
      </c>
      <c r="T349" s="5">
        <f t="shared" si="34"/>
        <v>5.6437399741419529</v>
      </c>
      <c r="U349" s="5">
        <f t="shared" si="35"/>
        <v>0</v>
      </c>
      <c r="V349" s="4">
        <v>1</v>
      </c>
      <c r="W349" s="4">
        <v>4</v>
      </c>
      <c r="X349" s="4">
        <v>26</v>
      </c>
      <c r="Y349" s="4">
        <v>-42</v>
      </c>
      <c r="Z349" s="4">
        <v>0</v>
      </c>
      <c r="AA349" s="4">
        <v>0</v>
      </c>
      <c r="AB349" s="4">
        <v>0</v>
      </c>
      <c r="AC349" s="4">
        <v>0</v>
      </c>
      <c r="AD349" s="4"/>
      <c r="AE349" s="54">
        <v>1.832985877990723E-2</v>
      </c>
      <c r="AF349" s="54">
        <v>0.99945825338363647</v>
      </c>
    </row>
    <row r="350" spans="1:32" x14ac:dyDescent="0.2">
      <c r="A350" s="53" t="s">
        <v>2240</v>
      </c>
      <c r="B350" s="53" t="s">
        <v>2241</v>
      </c>
      <c r="C350" s="54" t="s">
        <v>3136</v>
      </c>
      <c r="D350" s="13" t="s">
        <v>764</v>
      </c>
      <c r="E350" s="4" t="s">
        <v>766</v>
      </c>
      <c r="F350" s="4" t="s">
        <v>765</v>
      </c>
      <c r="G350" s="17" t="s">
        <v>66</v>
      </c>
      <c r="H350" s="4">
        <v>255</v>
      </c>
      <c r="I350" s="5">
        <f t="shared" si="30"/>
        <v>199.11779105750287</v>
      </c>
      <c r="J350" s="4">
        <v>3331</v>
      </c>
      <c r="K350" s="5">
        <f t="shared" si="31"/>
        <v>1798.311606209169</v>
      </c>
      <c r="L350" s="5">
        <v>0</v>
      </c>
      <c r="M350" s="5">
        <v>0</v>
      </c>
      <c r="N350" s="4">
        <v>0</v>
      </c>
      <c r="O350" s="5">
        <f t="shared" si="32"/>
        <v>0</v>
      </c>
      <c r="P350" s="4">
        <v>0</v>
      </c>
      <c r="Q350" s="4">
        <v>0</v>
      </c>
      <c r="R350" s="4">
        <v>0</v>
      </c>
      <c r="S350" s="5">
        <f t="shared" si="33"/>
        <v>0</v>
      </c>
      <c r="T350" s="5">
        <f t="shared" si="34"/>
        <v>9.031395922275161</v>
      </c>
      <c r="U350" s="5">
        <f t="shared" si="35"/>
        <v>0</v>
      </c>
      <c r="V350" s="4">
        <v>-17</v>
      </c>
      <c r="W350" s="4">
        <v>34</v>
      </c>
      <c r="X350" s="4">
        <v>-17</v>
      </c>
      <c r="Y350" s="4">
        <v>33</v>
      </c>
      <c r="Z350" s="4">
        <v>0</v>
      </c>
      <c r="AA350" s="4">
        <v>0</v>
      </c>
      <c r="AB350" s="4">
        <v>0</v>
      </c>
      <c r="AC350" s="4">
        <v>0</v>
      </c>
      <c r="AD350" s="4"/>
      <c r="AE350" s="54">
        <v>3.3140182495117188E-4</v>
      </c>
      <c r="AF350" s="54">
        <v>0.39295980334281921</v>
      </c>
    </row>
    <row r="351" spans="1:32" x14ac:dyDescent="0.2">
      <c r="A351" s="53" t="s">
        <v>2130</v>
      </c>
      <c r="B351" s="53" t="s">
        <v>2167</v>
      </c>
      <c r="C351" s="54" t="s">
        <v>3139</v>
      </c>
      <c r="D351" s="20" t="s">
        <v>727</v>
      </c>
      <c r="E351" s="9" t="s">
        <v>729</v>
      </c>
      <c r="F351" s="4" t="s">
        <v>728</v>
      </c>
      <c r="G351" s="4" t="s">
        <v>253</v>
      </c>
      <c r="H351" s="4">
        <v>571</v>
      </c>
      <c r="I351" s="5">
        <f t="shared" si="30"/>
        <v>445.86768115229074</v>
      </c>
      <c r="J351" s="4">
        <v>3182</v>
      </c>
      <c r="K351" s="5">
        <f t="shared" si="31"/>
        <v>1717.8707688254503</v>
      </c>
      <c r="L351" s="5">
        <v>0</v>
      </c>
      <c r="M351" s="5">
        <v>0</v>
      </c>
      <c r="N351" s="4">
        <v>0</v>
      </c>
      <c r="O351" s="5">
        <f t="shared" si="32"/>
        <v>0</v>
      </c>
      <c r="P351" s="4">
        <v>0</v>
      </c>
      <c r="Q351" s="4">
        <v>0</v>
      </c>
      <c r="R351" s="4">
        <v>0</v>
      </c>
      <c r="S351" s="5">
        <f t="shared" si="33"/>
        <v>0</v>
      </c>
      <c r="T351" s="5">
        <f t="shared" si="34"/>
        <v>3.8528712473301998</v>
      </c>
      <c r="U351" s="5">
        <f t="shared" si="35"/>
        <v>0</v>
      </c>
      <c r="V351" s="4">
        <v>-6</v>
      </c>
      <c r="W351" s="4">
        <v>-5</v>
      </c>
      <c r="X351" s="4">
        <v>33</v>
      </c>
      <c r="Y351" s="4">
        <v>-6</v>
      </c>
      <c r="Z351" s="4">
        <v>0</v>
      </c>
      <c r="AA351" s="4">
        <v>0</v>
      </c>
      <c r="AB351" s="4">
        <v>0</v>
      </c>
      <c r="AC351" s="4">
        <v>0</v>
      </c>
      <c r="AD351" s="4"/>
      <c r="AE351" s="54">
        <v>7.9864263534545898E-4</v>
      </c>
      <c r="AF351" s="54">
        <v>0.65525186061859131</v>
      </c>
    </row>
    <row r="352" spans="1:32" x14ac:dyDescent="0.2">
      <c r="A352" s="53" t="s">
        <v>2130</v>
      </c>
      <c r="B352" s="53" t="s">
        <v>2168</v>
      </c>
      <c r="C352" s="54" t="s">
        <v>3140</v>
      </c>
      <c r="D352" s="13" t="s">
        <v>2087</v>
      </c>
      <c r="E352" s="4" t="s">
        <v>2089</v>
      </c>
      <c r="F352" s="4" t="s">
        <v>2088</v>
      </c>
      <c r="G352" s="4" t="s">
        <v>253</v>
      </c>
      <c r="H352" s="4">
        <v>3585</v>
      </c>
      <c r="I352" s="5">
        <f t="shared" si="30"/>
        <v>2799.3618860437168</v>
      </c>
      <c r="J352" s="4">
        <v>578</v>
      </c>
      <c r="K352" s="5">
        <f t="shared" si="31"/>
        <v>312.04566448180714</v>
      </c>
      <c r="L352" s="5">
        <v>0</v>
      </c>
      <c r="M352" s="5">
        <v>0</v>
      </c>
      <c r="N352" s="4">
        <v>0</v>
      </c>
      <c r="O352" s="5">
        <f t="shared" si="32"/>
        <v>0</v>
      </c>
      <c r="P352" s="4">
        <v>0</v>
      </c>
      <c r="Q352" s="4">
        <v>0</v>
      </c>
      <c r="R352" s="4">
        <v>0</v>
      </c>
      <c r="S352" s="5">
        <f t="shared" si="33"/>
        <v>0</v>
      </c>
      <c r="T352" s="5">
        <f t="shared" si="34"/>
        <v>0.11147028400919437</v>
      </c>
      <c r="U352" s="5">
        <f t="shared" si="35"/>
        <v>0</v>
      </c>
      <c r="V352" s="4">
        <v>-3</v>
      </c>
      <c r="W352" s="4">
        <v>33</v>
      </c>
      <c r="X352" s="4">
        <v>16</v>
      </c>
      <c r="Y352" s="4">
        <v>35</v>
      </c>
      <c r="Z352" s="4">
        <v>0</v>
      </c>
      <c r="AA352" s="4">
        <v>0</v>
      </c>
      <c r="AB352" s="4">
        <v>0</v>
      </c>
      <c r="AC352" s="4">
        <v>0</v>
      </c>
      <c r="AD352" s="4"/>
      <c r="AE352" s="54">
        <v>-2.9671192169189448E-4</v>
      </c>
      <c r="AF352" s="54">
        <v>-0.43125671148300171</v>
      </c>
    </row>
    <row r="353" spans="1:32" x14ac:dyDescent="0.2">
      <c r="A353" s="53" t="s">
        <v>2130</v>
      </c>
      <c r="B353" s="53" t="s">
        <v>2132</v>
      </c>
      <c r="C353" s="54" t="s">
        <v>3143</v>
      </c>
      <c r="D353" s="20" t="s">
        <v>660</v>
      </c>
      <c r="E353" s="9" t="s">
        <v>662</v>
      </c>
      <c r="F353" s="4" t="s">
        <v>661</v>
      </c>
      <c r="G353" s="4" t="s">
        <v>132</v>
      </c>
      <c r="H353" s="4">
        <v>774</v>
      </c>
      <c r="I353" s="5">
        <f t="shared" si="30"/>
        <v>604.38105991571456</v>
      </c>
      <c r="J353" s="4">
        <v>2295</v>
      </c>
      <c r="K353" s="5">
        <f t="shared" si="31"/>
        <v>1239.0048442659991</v>
      </c>
      <c r="L353" s="5">
        <v>0</v>
      </c>
      <c r="M353" s="5">
        <v>0</v>
      </c>
      <c r="N353" s="4">
        <v>0</v>
      </c>
      <c r="O353" s="5">
        <f t="shared" si="32"/>
        <v>0</v>
      </c>
      <c r="P353" s="4">
        <v>0</v>
      </c>
      <c r="Q353" s="4">
        <v>0</v>
      </c>
      <c r="R353" s="4">
        <v>0</v>
      </c>
      <c r="S353" s="5">
        <f t="shared" si="33"/>
        <v>0</v>
      </c>
      <c r="T353" s="5">
        <f t="shared" si="34"/>
        <v>2.0500391664139634</v>
      </c>
      <c r="U353" s="5">
        <f t="shared" si="35"/>
        <v>0</v>
      </c>
      <c r="V353" s="4">
        <v>-19</v>
      </c>
      <c r="W353" s="4">
        <v>37</v>
      </c>
      <c r="X353" s="4">
        <v>49</v>
      </c>
      <c r="Y353" s="4">
        <v>43</v>
      </c>
      <c r="Z353" s="4">
        <v>0</v>
      </c>
      <c r="AA353" s="4">
        <v>0</v>
      </c>
      <c r="AB353" s="4">
        <v>0</v>
      </c>
      <c r="AC353" s="4">
        <v>0</v>
      </c>
      <c r="AD353" s="4"/>
      <c r="AE353" s="54">
        <v>5.0127506256103516E-4</v>
      </c>
      <c r="AF353" s="54">
        <v>0.53695803880691528</v>
      </c>
    </row>
    <row r="354" spans="1:32" x14ac:dyDescent="0.2">
      <c r="A354" s="53" t="s">
        <v>2130</v>
      </c>
      <c r="B354" s="53" t="s">
        <v>2133</v>
      </c>
      <c r="C354" s="54" t="s">
        <v>3144</v>
      </c>
      <c r="D354" s="20" t="s">
        <v>663</v>
      </c>
      <c r="E354" s="9" t="s">
        <v>665</v>
      </c>
      <c r="F354" s="4" t="s">
        <v>664</v>
      </c>
      <c r="G354" s="10" t="s">
        <v>27</v>
      </c>
      <c r="H354" s="4">
        <v>203</v>
      </c>
      <c r="I354" s="5">
        <f t="shared" si="30"/>
        <v>158.51337876342384</v>
      </c>
      <c r="J354" s="4">
        <v>1834</v>
      </c>
      <c r="K354" s="5">
        <f t="shared" si="31"/>
        <v>990.12413262912514</v>
      </c>
      <c r="L354" s="5">
        <v>0</v>
      </c>
      <c r="M354" s="5">
        <v>0</v>
      </c>
      <c r="N354" s="4">
        <v>0</v>
      </c>
      <c r="O354" s="5">
        <f t="shared" si="32"/>
        <v>0</v>
      </c>
      <c r="P354" s="4">
        <v>0</v>
      </c>
      <c r="Q354" s="4">
        <v>0</v>
      </c>
      <c r="R354" s="4">
        <v>0</v>
      </c>
      <c r="S354" s="5">
        <f t="shared" si="33"/>
        <v>0</v>
      </c>
      <c r="T354" s="5">
        <f t="shared" si="34"/>
        <v>6.2463127109721999</v>
      </c>
      <c r="U354" s="5">
        <f t="shared" si="35"/>
        <v>0</v>
      </c>
      <c r="V354" s="4">
        <v>22</v>
      </c>
      <c r="W354" s="4">
        <v>7</v>
      </c>
      <c r="X354" s="4">
        <v>0</v>
      </c>
      <c r="Y354" s="4">
        <v>-4</v>
      </c>
      <c r="Z354" s="4">
        <v>0</v>
      </c>
      <c r="AA354" s="4">
        <v>0</v>
      </c>
      <c r="AB354" s="4">
        <v>0</v>
      </c>
      <c r="AC354" s="4">
        <v>0</v>
      </c>
      <c r="AD354" s="4"/>
      <c r="AE354" s="54">
        <v>4.901885986328125E-4</v>
      </c>
      <c r="AF354" s="54">
        <v>0.53695803880691528</v>
      </c>
    </row>
    <row r="355" spans="1:32" x14ac:dyDescent="0.2">
      <c r="A355" s="53" t="s">
        <v>2130</v>
      </c>
      <c r="B355" s="53" t="s">
        <v>2135</v>
      </c>
      <c r="C355" s="54" t="s">
        <v>3146</v>
      </c>
      <c r="D355" s="20" t="s">
        <v>666</v>
      </c>
      <c r="E355" s="9" t="s">
        <v>668</v>
      </c>
      <c r="F355" s="4" t="s">
        <v>667</v>
      </c>
      <c r="G355" s="17" t="s">
        <v>142</v>
      </c>
      <c r="H355" s="4">
        <v>1684</v>
      </c>
      <c r="I355" s="5">
        <f t="shared" si="30"/>
        <v>1314.9582750620975</v>
      </c>
      <c r="J355" s="4">
        <v>1161</v>
      </c>
      <c r="K355" s="5">
        <f t="shared" si="31"/>
        <v>626.79068592279953</v>
      </c>
      <c r="L355" s="5">
        <v>0</v>
      </c>
      <c r="M355" s="5">
        <v>0</v>
      </c>
      <c r="N355" s="4">
        <v>0</v>
      </c>
      <c r="O355" s="5">
        <f t="shared" si="32"/>
        <v>0</v>
      </c>
      <c r="P355" s="4">
        <v>0</v>
      </c>
      <c r="Q355" s="4">
        <v>0</v>
      </c>
      <c r="R355" s="4">
        <v>0</v>
      </c>
      <c r="S355" s="5">
        <f t="shared" si="33"/>
        <v>0</v>
      </c>
      <c r="T355" s="5">
        <f t="shared" si="34"/>
        <v>0.47666203392894729</v>
      </c>
      <c r="U355" s="5">
        <f t="shared" si="35"/>
        <v>0</v>
      </c>
      <c r="V355" s="4">
        <v>-3</v>
      </c>
      <c r="W355" s="4">
        <v>-41</v>
      </c>
      <c r="X355" s="4">
        <v>32</v>
      </c>
      <c r="Y355" s="4">
        <v>-45</v>
      </c>
      <c r="Z355" s="4">
        <v>0</v>
      </c>
      <c r="AA355" s="4">
        <v>0</v>
      </c>
      <c r="AB355" s="4">
        <v>0</v>
      </c>
      <c r="AC355" s="4">
        <v>0</v>
      </c>
      <c r="AD355" s="4"/>
      <c r="AE355" s="54">
        <v>1.9204616546630859E-4</v>
      </c>
      <c r="AF355" s="54">
        <v>0.36330443620681763</v>
      </c>
    </row>
    <row r="356" spans="1:32" x14ac:dyDescent="0.2">
      <c r="A356" s="53" t="s">
        <v>2130</v>
      </c>
      <c r="B356" s="53" t="s">
        <v>2136</v>
      </c>
      <c r="C356" s="54" t="s">
        <v>3147</v>
      </c>
      <c r="D356" s="20" t="s">
        <v>669</v>
      </c>
      <c r="E356" s="9" t="s">
        <v>671</v>
      </c>
      <c r="F356" s="4" t="s">
        <v>670</v>
      </c>
      <c r="G356" s="17" t="s">
        <v>66</v>
      </c>
      <c r="H356" s="4">
        <v>646</v>
      </c>
      <c r="I356" s="5">
        <f t="shared" si="30"/>
        <v>504.43173734567392</v>
      </c>
      <c r="J356" s="4">
        <v>2956</v>
      </c>
      <c r="K356" s="5">
        <f t="shared" si="31"/>
        <v>1595.8598342702801</v>
      </c>
      <c r="L356" s="5">
        <v>0</v>
      </c>
      <c r="M356" s="5">
        <v>0</v>
      </c>
      <c r="N356" s="4">
        <v>0</v>
      </c>
      <c r="O356" s="5">
        <f t="shared" si="32"/>
        <v>0</v>
      </c>
      <c r="P356" s="4">
        <v>0</v>
      </c>
      <c r="Q356" s="4">
        <v>0</v>
      </c>
      <c r="R356" s="4">
        <v>0</v>
      </c>
      <c r="S356" s="5">
        <f t="shared" si="33"/>
        <v>0</v>
      </c>
      <c r="T356" s="5">
        <f t="shared" si="34"/>
        <v>3.1636784843628485</v>
      </c>
      <c r="U356" s="5">
        <f t="shared" si="35"/>
        <v>0</v>
      </c>
      <c r="V356" s="4">
        <v>-48</v>
      </c>
      <c r="W356" s="4">
        <v>-32</v>
      </c>
      <c r="X356" s="4">
        <v>-32</v>
      </c>
      <c r="Y356" s="4">
        <v>-20</v>
      </c>
      <c r="Z356" s="4">
        <v>0</v>
      </c>
      <c r="AA356" s="4">
        <v>0</v>
      </c>
      <c r="AB356" s="4">
        <v>0</v>
      </c>
      <c r="AC356" s="4">
        <v>0</v>
      </c>
      <c r="AD356" s="4"/>
      <c r="AE356" s="54">
        <v>-2.7574300765991211E-3</v>
      </c>
      <c r="AF356" s="54">
        <v>-0.93488073348999023</v>
      </c>
    </row>
    <row r="357" spans="1:32" x14ac:dyDescent="0.2">
      <c r="A357" s="53" t="s">
        <v>2130</v>
      </c>
      <c r="B357" s="53" t="s">
        <v>2138</v>
      </c>
      <c r="C357" s="54" t="s">
        <v>3149</v>
      </c>
      <c r="D357" s="20" t="s">
        <v>672</v>
      </c>
      <c r="E357" s="9" t="s">
        <v>674</v>
      </c>
      <c r="F357" s="4" t="s">
        <v>673</v>
      </c>
      <c r="G357" s="10" t="s">
        <v>27</v>
      </c>
      <c r="H357" s="4">
        <v>344</v>
      </c>
      <c r="I357" s="5">
        <f t="shared" si="30"/>
        <v>268.61380440698429</v>
      </c>
      <c r="J357" s="4">
        <v>1180</v>
      </c>
      <c r="K357" s="5">
        <f t="shared" si="31"/>
        <v>637.0482423677031</v>
      </c>
      <c r="L357" s="5">
        <v>0</v>
      </c>
      <c r="M357" s="5">
        <v>0</v>
      </c>
      <c r="N357" s="4">
        <v>0</v>
      </c>
      <c r="O357" s="5">
        <f t="shared" si="32"/>
        <v>0</v>
      </c>
      <c r="P357" s="4">
        <v>0</v>
      </c>
      <c r="Q357" s="4">
        <v>0</v>
      </c>
      <c r="R357" s="4">
        <v>0</v>
      </c>
      <c r="S357" s="5">
        <f t="shared" si="33"/>
        <v>0</v>
      </c>
      <c r="T357" s="5">
        <f t="shared" si="34"/>
        <v>2.3716139376161527</v>
      </c>
      <c r="U357" s="5">
        <f t="shared" si="35"/>
        <v>0</v>
      </c>
      <c r="V357" s="4">
        <v>11</v>
      </c>
      <c r="W357" s="4">
        <v>-30</v>
      </c>
      <c r="X357" s="4">
        <v>1</v>
      </c>
      <c r="Y357" s="4">
        <v>-30</v>
      </c>
      <c r="Z357" s="4">
        <v>0</v>
      </c>
      <c r="AA357" s="4">
        <v>0</v>
      </c>
      <c r="AB357" s="4">
        <v>0</v>
      </c>
      <c r="AC357" s="4">
        <v>0</v>
      </c>
      <c r="AD357" s="4"/>
      <c r="AE357" s="54">
        <v>2.176165580749512E-4</v>
      </c>
      <c r="AF357" s="54">
        <v>0.38316118717193598</v>
      </c>
    </row>
    <row r="358" spans="1:32" x14ac:dyDescent="0.2">
      <c r="A358" s="53" t="s">
        <v>2130</v>
      </c>
      <c r="B358" s="53" t="s">
        <v>2139</v>
      </c>
      <c r="C358" s="54" t="s">
        <v>3150</v>
      </c>
      <c r="D358" s="20" t="s">
        <v>675</v>
      </c>
      <c r="E358" s="9" t="s">
        <v>677</v>
      </c>
      <c r="F358" s="4" t="s">
        <v>676</v>
      </c>
      <c r="G358" s="10" t="s">
        <v>27</v>
      </c>
      <c r="H358" s="4">
        <v>2886</v>
      </c>
      <c r="I358" s="5">
        <f t="shared" si="30"/>
        <v>2253.5448823213856</v>
      </c>
      <c r="J358" s="4">
        <v>4632</v>
      </c>
      <c r="K358" s="5">
        <f t="shared" si="31"/>
        <v>2500.6842869891534</v>
      </c>
      <c r="L358" s="5">
        <v>0</v>
      </c>
      <c r="M358" s="5">
        <v>0</v>
      </c>
      <c r="N358" s="4">
        <v>0</v>
      </c>
      <c r="O358" s="5">
        <f t="shared" si="32"/>
        <v>0</v>
      </c>
      <c r="P358" s="4">
        <v>0</v>
      </c>
      <c r="Q358" s="4">
        <v>0</v>
      </c>
      <c r="R358" s="4">
        <v>0</v>
      </c>
      <c r="S358" s="5">
        <f t="shared" si="33"/>
        <v>0</v>
      </c>
      <c r="T358" s="5">
        <f t="shared" si="34"/>
        <v>1.1096669547638158</v>
      </c>
      <c r="U358" s="5">
        <f t="shared" si="35"/>
        <v>0</v>
      </c>
      <c r="V358" s="4">
        <v>-1</v>
      </c>
      <c r="W358" s="4">
        <v>0</v>
      </c>
      <c r="X358" s="4">
        <v>-1</v>
      </c>
      <c r="Y358" s="4">
        <v>-16</v>
      </c>
      <c r="Z358" s="4">
        <v>0</v>
      </c>
      <c r="AA358" s="4">
        <v>0</v>
      </c>
      <c r="AB358" s="4">
        <v>0</v>
      </c>
      <c r="AC358" s="4">
        <v>0</v>
      </c>
      <c r="AD358" s="4"/>
      <c r="AE358" s="54">
        <v>4.9042701721191406E-4</v>
      </c>
      <c r="AF358" s="54">
        <v>0.53695803880691528</v>
      </c>
    </row>
    <row r="359" spans="1:32" x14ac:dyDescent="0.2">
      <c r="A359" s="53" t="s">
        <v>2130</v>
      </c>
      <c r="B359" s="53" t="s">
        <v>2140</v>
      </c>
      <c r="C359" s="54" t="s">
        <v>3151</v>
      </c>
      <c r="D359" s="20" t="s">
        <v>699</v>
      </c>
      <c r="E359" s="9" t="s">
        <v>701</v>
      </c>
      <c r="F359" s="4" t="s">
        <v>700</v>
      </c>
      <c r="G359" s="10" t="s">
        <v>27</v>
      </c>
      <c r="H359" s="4">
        <v>3376</v>
      </c>
      <c r="I359" s="5">
        <f t="shared" si="30"/>
        <v>2636.1633827848223</v>
      </c>
      <c r="J359" s="4">
        <v>1044</v>
      </c>
      <c r="K359" s="5">
        <f t="shared" si="31"/>
        <v>563.62573307786624</v>
      </c>
      <c r="L359" s="5">
        <v>0</v>
      </c>
      <c r="M359" s="5">
        <v>0</v>
      </c>
      <c r="N359" s="4">
        <v>0</v>
      </c>
      <c r="O359" s="5">
        <f t="shared" si="32"/>
        <v>0</v>
      </c>
      <c r="P359" s="4">
        <v>0</v>
      </c>
      <c r="Q359" s="4">
        <v>0</v>
      </c>
      <c r="R359" s="4">
        <v>0</v>
      </c>
      <c r="S359" s="5">
        <f t="shared" si="33"/>
        <v>0</v>
      </c>
      <c r="T359" s="5">
        <f t="shared" si="34"/>
        <v>0.21380531144562689</v>
      </c>
      <c r="U359" s="5">
        <f t="shared" si="35"/>
        <v>0</v>
      </c>
      <c r="V359" s="4">
        <v>-25</v>
      </c>
      <c r="W359" s="4">
        <v>6</v>
      </c>
      <c r="X359" s="4">
        <v>-41</v>
      </c>
      <c r="Y359" s="4">
        <v>7</v>
      </c>
      <c r="Z359" s="4">
        <v>0</v>
      </c>
      <c r="AA359" s="4">
        <v>0</v>
      </c>
      <c r="AB359" s="4">
        <v>0</v>
      </c>
      <c r="AC359" s="4">
        <v>0</v>
      </c>
      <c r="AD359" s="4"/>
      <c r="AE359" s="54">
        <v>-4.6950578689575201E-4</v>
      </c>
      <c r="AF359" s="54">
        <v>-0.52033525705337524</v>
      </c>
    </row>
    <row r="360" spans="1:32" x14ac:dyDescent="0.2">
      <c r="A360" s="53" t="s">
        <v>2130</v>
      </c>
      <c r="B360" s="53" t="s">
        <v>2141</v>
      </c>
      <c r="C360" s="54" t="s">
        <v>3152</v>
      </c>
      <c r="D360" s="20" t="s">
        <v>702</v>
      </c>
      <c r="E360" s="9" t="s">
        <v>704</v>
      </c>
      <c r="F360" s="4" t="s">
        <v>703</v>
      </c>
      <c r="G360" s="4" t="s">
        <v>27</v>
      </c>
      <c r="H360" s="4">
        <v>358</v>
      </c>
      <c r="I360" s="5">
        <f t="shared" si="30"/>
        <v>279.54576156308246</v>
      </c>
      <c r="J360" s="4">
        <v>3236</v>
      </c>
      <c r="K360" s="5">
        <f t="shared" si="31"/>
        <v>1747.0238239846503</v>
      </c>
      <c r="L360" s="5">
        <v>0</v>
      </c>
      <c r="M360" s="5">
        <v>0</v>
      </c>
      <c r="N360" s="4">
        <v>0</v>
      </c>
      <c r="O360" s="5">
        <f t="shared" si="32"/>
        <v>0</v>
      </c>
      <c r="P360" s="4">
        <v>0</v>
      </c>
      <c r="Q360" s="4">
        <v>0</v>
      </c>
      <c r="R360" s="4">
        <v>0</v>
      </c>
      <c r="S360" s="5">
        <f t="shared" si="33"/>
        <v>0</v>
      </c>
      <c r="T360" s="5">
        <f t="shared" si="34"/>
        <v>6.2495092546427893</v>
      </c>
      <c r="U360" s="5">
        <f t="shared" si="35"/>
        <v>0</v>
      </c>
      <c r="V360" s="4">
        <v>-30</v>
      </c>
      <c r="W360" s="4">
        <v>-27</v>
      </c>
      <c r="X360" s="4">
        <v>-2</v>
      </c>
      <c r="Y360" s="4">
        <v>45</v>
      </c>
      <c r="Z360" s="4">
        <v>0</v>
      </c>
      <c r="AA360" s="4">
        <v>0</v>
      </c>
      <c r="AB360" s="4">
        <v>0</v>
      </c>
      <c r="AC360" s="4">
        <v>0</v>
      </c>
      <c r="AD360" s="4"/>
      <c r="AE360" s="54">
        <v>-5.3822994232177734E-4</v>
      </c>
      <c r="AF360" s="54">
        <v>-0.55317401885986328</v>
      </c>
    </row>
    <row r="361" spans="1:32" x14ac:dyDescent="0.2">
      <c r="A361" s="53" t="s">
        <v>2130</v>
      </c>
      <c r="B361" s="53" t="s">
        <v>2142</v>
      </c>
      <c r="C361" s="54" t="s">
        <v>3153</v>
      </c>
      <c r="D361" s="13" t="s">
        <v>2051</v>
      </c>
      <c r="E361" s="4" t="s">
        <v>2053</v>
      </c>
      <c r="F361" s="4" t="s">
        <v>2052</v>
      </c>
      <c r="G361" s="4" t="s">
        <v>164</v>
      </c>
      <c r="H361" s="4">
        <v>1488</v>
      </c>
      <c r="I361" s="5">
        <f t="shared" si="30"/>
        <v>1161.9108748767226</v>
      </c>
      <c r="J361" s="4">
        <v>1733</v>
      </c>
      <c r="K361" s="5">
        <f t="shared" si="31"/>
        <v>935.59712205358437</v>
      </c>
      <c r="L361" s="5">
        <v>0</v>
      </c>
      <c r="M361" s="5">
        <v>0</v>
      </c>
      <c r="N361" s="4">
        <v>0</v>
      </c>
      <c r="O361" s="5">
        <f t="shared" si="32"/>
        <v>0</v>
      </c>
      <c r="P361" s="4">
        <v>0</v>
      </c>
      <c r="Q361" s="4">
        <v>0</v>
      </c>
      <c r="R361" s="4">
        <v>0</v>
      </c>
      <c r="S361" s="5">
        <f t="shared" si="33"/>
        <v>0</v>
      </c>
      <c r="T361" s="5">
        <f t="shared" si="34"/>
        <v>0.80522279486612958</v>
      </c>
      <c r="U361" s="5">
        <f t="shared" si="35"/>
        <v>0</v>
      </c>
      <c r="V361" s="4">
        <v>-3</v>
      </c>
      <c r="W361" s="4">
        <v>-1</v>
      </c>
      <c r="X361" s="4">
        <v>42</v>
      </c>
      <c r="Y361" s="4">
        <v>-18</v>
      </c>
      <c r="Z361" s="4">
        <v>0</v>
      </c>
      <c r="AA361" s="4">
        <v>0</v>
      </c>
      <c r="AB361" s="4">
        <v>0</v>
      </c>
      <c r="AC361" s="4">
        <v>0</v>
      </c>
      <c r="AD361" s="4"/>
      <c r="AE361" s="54">
        <v>-1.780390739440918E-4</v>
      </c>
      <c r="AF361" s="54">
        <v>-0.34311208128929138</v>
      </c>
    </row>
    <row r="362" spans="1:32" x14ac:dyDescent="0.2">
      <c r="A362" s="53" t="s">
        <v>2130</v>
      </c>
      <c r="B362" s="53" t="s">
        <v>2143</v>
      </c>
      <c r="C362" s="54" t="s">
        <v>3154</v>
      </c>
      <c r="D362" s="13" t="s">
        <v>2054</v>
      </c>
      <c r="E362" s="4" t="s">
        <v>2056</v>
      </c>
      <c r="F362" s="4" t="s">
        <v>2055</v>
      </c>
      <c r="G362" s="17" t="s">
        <v>168</v>
      </c>
      <c r="H362" s="4">
        <v>4062</v>
      </c>
      <c r="I362" s="5">
        <f t="shared" si="30"/>
        <v>3171.8292834336339</v>
      </c>
      <c r="J362" s="4">
        <v>3849</v>
      </c>
      <c r="K362" s="5">
        <f t="shared" si="31"/>
        <v>2077.9649871807537</v>
      </c>
      <c r="L362" s="5">
        <v>0</v>
      </c>
      <c r="M362" s="5">
        <v>0</v>
      </c>
      <c r="N362" s="4">
        <v>0</v>
      </c>
      <c r="O362" s="5">
        <f t="shared" si="32"/>
        <v>0</v>
      </c>
      <c r="P362" s="4">
        <v>0</v>
      </c>
      <c r="Q362" s="4">
        <v>0</v>
      </c>
      <c r="R362" s="4">
        <v>0</v>
      </c>
      <c r="S362" s="5">
        <f t="shared" si="33"/>
        <v>0</v>
      </c>
      <c r="T362" s="5">
        <f t="shared" si="34"/>
        <v>0.65513140887938093</v>
      </c>
      <c r="U362" s="5">
        <f t="shared" si="35"/>
        <v>0</v>
      </c>
      <c r="V362" s="4">
        <v>-41</v>
      </c>
      <c r="W362" s="4">
        <v>-49</v>
      </c>
      <c r="X362" s="4">
        <v>35</v>
      </c>
      <c r="Y362" s="4">
        <v>-14</v>
      </c>
      <c r="Z362" s="4">
        <v>0</v>
      </c>
      <c r="AA362" s="4">
        <v>0</v>
      </c>
      <c r="AB362" s="4">
        <v>0</v>
      </c>
      <c r="AC362" s="4">
        <v>0</v>
      </c>
      <c r="AD362" s="4"/>
      <c r="AE362" s="54">
        <v>-1.1398196220397949E-3</v>
      </c>
      <c r="AF362" s="54">
        <v>-0.74315381050109863</v>
      </c>
    </row>
    <row r="363" spans="1:32" x14ac:dyDescent="0.2">
      <c r="A363" s="53" t="s">
        <v>2130</v>
      </c>
      <c r="B363" s="53" t="s">
        <v>2146</v>
      </c>
      <c r="C363" s="54" t="s">
        <v>3155</v>
      </c>
      <c r="D363" s="13" t="s">
        <v>2060</v>
      </c>
      <c r="E363" s="4" t="s">
        <v>2062</v>
      </c>
      <c r="F363" s="4" t="s">
        <v>2061</v>
      </c>
      <c r="G363" s="4" t="s">
        <v>180</v>
      </c>
      <c r="H363" s="4">
        <v>196</v>
      </c>
      <c r="I363" s="5">
        <f t="shared" si="30"/>
        <v>153.04740018537476</v>
      </c>
      <c r="J363" s="4">
        <v>649</v>
      </c>
      <c r="K363" s="5">
        <f t="shared" si="31"/>
        <v>350.37653330223674</v>
      </c>
      <c r="L363" s="5">
        <v>0</v>
      </c>
      <c r="M363" s="5">
        <v>0</v>
      </c>
      <c r="N363" s="4">
        <v>0</v>
      </c>
      <c r="O363" s="5">
        <f t="shared" si="32"/>
        <v>0</v>
      </c>
      <c r="P363" s="4">
        <v>0</v>
      </c>
      <c r="Q363" s="4">
        <v>0</v>
      </c>
      <c r="R363" s="4">
        <v>0</v>
      </c>
      <c r="S363" s="5">
        <f t="shared" si="33"/>
        <v>0</v>
      </c>
      <c r="T363" s="5">
        <f t="shared" si="34"/>
        <v>2.2893334540662051</v>
      </c>
      <c r="U363" s="5">
        <f t="shared" si="35"/>
        <v>0</v>
      </c>
      <c r="V363" s="4">
        <v>-47</v>
      </c>
      <c r="W363" s="4">
        <v>-4</v>
      </c>
      <c r="X363" s="4">
        <v>1</v>
      </c>
      <c r="Y363" s="4">
        <v>-3</v>
      </c>
      <c r="Z363" s="4">
        <v>0</v>
      </c>
      <c r="AA363" s="4">
        <v>0</v>
      </c>
      <c r="AB363" s="4">
        <v>0</v>
      </c>
      <c r="AC363" s="4">
        <v>0</v>
      </c>
      <c r="AD363" s="4"/>
      <c r="AE363" s="54">
        <v>-7.3373317718505859E-5</v>
      </c>
      <c r="AF363" s="54">
        <v>-0.2484796196222305</v>
      </c>
    </row>
    <row r="364" spans="1:32" x14ac:dyDescent="0.2">
      <c r="A364" s="53" t="s">
        <v>2130</v>
      </c>
      <c r="B364" s="53" t="s">
        <v>2145</v>
      </c>
      <c r="C364" s="54" t="s">
        <v>3156</v>
      </c>
      <c r="D364" s="13" t="s">
        <v>2057</v>
      </c>
      <c r="E364" s="4" t="s">
        <v>2059</v>
      </c>
      <c r="F364" s="4" t="s">
        <v>2058</v>
      </c>
      <c r="G364" s="4" t="s">
        <v>176</v>
      </c>
      <c r="H364" s="4">
        <v>540</v>
      </c>
      <c r="I364" s="5">
        <f t="shared" si="30"/>
        <v>421.66120459235907</v>
      </c>
      <c r="J364" s="4">
        <v>2385</v>
      </c>
      <c r="K364" s="5">
        <f t="shared" si="31"/>
        <v>1287.5932695313322</v>
      </c>
      <c r="L364" s="5">
        <v>0</v>
      </c>
      <c r="M364" s="5">
        <v>0</v>
      </c>
      <c r="N364" s="4">
        <v>0</v>
      </c>
      <c r="O364" s="5">
        <f t="shared" si="32"/>
        <v>0</v>
      </c>
      <c r="P364" s="4">
        <v>0</v>
      </c>
      <c r="Q364" s="4">
        <v>0</v>
      </c>
      <c r="R364" s="4">
        <v>0</v>
      </c>
      <c r="S364" s="5">
        <f t="shared" si="33"/>
        <v>0</v>
      </c>
      <c r="T364" s="5">
        <f t="shared" si="34"/>
        <v>3.0536204315407982</v>
      </c>
      <c r="U364" s="5">
        <f t="shared" si="35"/>
        <v>0</v>
      </c>
      <c r="V364" s="4">
        <v>-2</v>
      </c>
      <c r="W364" s="4">
        <v>13</v>
      </c>
      <c r="X364" s="4">
        <v>-35</v>
      </c>
      <c r="Y364" s="4">
        <v>-43</v>
      </c>
      <c r="Z364" s="4">
        <v>0</v>
      </c>
      <c r="AA364" s="4">
        <v>0</v>
      </c>
      <c r="AB364" s="4">
        <v>0</v>
      </c>
      <c r="AC364" s="4">
        <v>0</v>
      </c>
      <c r="AD364" s="4"/>
      <c r="AE364" s="54">
        <v>-9.2083215713500977E-4</v>
      </c>
      <c r="AF364" s="54">
        <v>-0.68693405389785767</v>
      </c>
    </row>
    <row r="365" spans="1:32" x14ac:dyDescent="0.2">
      <c r="A365" s="53" t="s">
        <v>2130</v>
      </c>
      <c r="B365" s="53" t="s">
        <v>2144</v>
      </c>
      <c r="C365" s="54" t="s">
        <v>3157</v>
      </c>
      <c r="D365" s="20" t="s">
        <v>420</v>
      </c>
      <c r="E365" s="9" t="s">
        <v>422</v>
      </c>
      <c r="F365" s="4" t="s">
        <v>421</v>
      </c>
      <c r="G365" s="17" t="s">
        <v>168</v>
      </c>
      <c r="H365" s="4">
        <v>537</v>
      </c>
      <c r="I365" s="5">
        <f t="shared" si="30"/>
        <v>419.3186423446237</v>
      </c>
      <c r="J365" s="4">
        <v>3223</v>
      </c>
      <c r="K365" s="5">
        <f t="shared" si="31"/>
        <v>1740.005495890769</v>
      </c>
      <c r="L365" s="5">
        <v>0</v>
      </c>
      <c r="M365" s="5">
        <v>0</v>
      </c>
      <c r="N365" s="4">
        <v>0</v>
      </c>
      <c r="O365" s="5">
        <f t="shared" si="32"/>
        <v>0</v>
      </c>
      <c r="P365" s="4">
        <v>0</v>
      </c>
      <c r="Q365" s="4">
        <v>0</v>
      </c>
      <c r="R365" s="4">
        <v>0</v>
      </c>
      <c r="S365" s="5">
        <f t="shared" si="33"/>
        <v>0</v>
      </c>
      <c r="T365" s="5">
        <f t="shared" si="34"/>
        <v>4.1496020452644649</v>
      </c>
      <c r="U365" s="5">
        <f t="shared" si="35"/>
        <v>0</v>
      </c>
      <c r="V365" s="4">
        <v>-17</v>
      </c>
      <c r="W365" s="4">
        <v>-29</v>
      </c>
      <c r="X365" s="4">
        <v>30</v>
      </c>
      <c r="Y365" s="4">
        <v>-27</v>
      </c>
      <c r="Z365" s="4">
        <v>0</v>
      </c>
      <c r="AA365" s="4">
        <v>0</v>
      </c>
      <c r="AB365" s="4">
        <v>0</v>
      </c>
      <c r="AC365" s="4">
        <v>0</v>
      </c>
      <c r="AD365" s="4"/>
      <c r="AE365" s="54">
        <v>-3.9601325988769531E-4</v>
      </c>
      <c r="AF365" s="54">
        <v>-0.48588192462921143</v>
      </c>
    </row>
    <row r="366" spans="1:32" x14ac:dyDescent="0.2">
      <c r="A366" s="53" t="s">
        <v>2130</v>
      </c>
      <c r="B366" s="53" t="s">
        <v>2149</v>
      </c>
      <c r="C366" s="54" t="s">
        <v>3158</v>
      </c>
      <c r="D366" s="20" t="s">
        <v>705</v>
      </c>
      <c r="E366" s="9" t="s">
        <v>707</v>
      </c>
      <c r="F366" s="4" t="s">
        <v>706</v>
      </c>
      <c r="G366" s="15" t="s">
        <v>188</v>
      </c>
      <c r="H366" s="4">
        <v>3723</v>
      </c>
      <c r="I366" s="5">
        <f t="shared" si="30"/>
        <v>2907.1197494395419</v>
      </c>
      <c r="J366" s="4">
        <v>3681</v>
      </c>
      <c r="K366" s="5">
        <f t="shared" si="31"/>
        <v>1987.2665933521318</v>
      </c>
      <c r="L366" s="5">
        <v>0</v>
      </c>
      <c r="M366" s="5">
        <v>0</v>
      </c>
      <c r="N366" s="4">
        <v>0</v>
      </c>
      <c r="O366" s="5">
        <f t="shared" si="32"/>
        <v>0</v>
      </c>
      <c r="P366" s="4">
        <v>0</v>
      </c>
      <c r="Q366" s="4">
        <v>0</v>
      </c>
      <c r="R366" s="4">
        <v>0</v>
      </c>
      <c r="S366" s="5">
        <f t="shared" si="33"/>
        <v>0</v>
      </c>
      <c r="T366" s="5">
        <f t="shared" si="34"/>
        <v>0.68358607991131193</v>
      </c>
      <c r="U366" s="5">
        <f t="shared" si="35"/>
        <v>0</v>
      </c>
      <c r="V366" s="4" t="s">
        <v>21</v>
      </c>
      <c r="W366" s="4" t="s">
        <v>21</v>
      </c>
      <c r="X366" s="4" t="s">
        <v>21</v>
      </c>
      <c r="Y366" s="4" t="s">
        <v>21</v>
      </c>
      <c r="Z366" s="4">
        <v>0</v>
      </c>
      <c r="AA366" s="4">
        <v>0</v>
      </c>
      <c r="AB366" s="4">
        <v>0</v>
      </c>
      <c r="AC366" s="4">
        <v>0</v>
      </c>
      <c r="AD366" s="4"/>
      <c r="AE366" s="54">
        <v>-5.7432055473327637E-3</v>
      </c>
      <c r="AF366" s="54">
        <v>-0.99215638637542725</v>
      </c>
    </row>
    <row r="367" spans="1:32" x14ac:dyDescent="0.2">
      <c r="A367" s="53" t="s">
        <v>2130</v>
      </c>
      <c r="B367" s="53" t="s">
        <v>2147</v>
      </c>
      <c r="C367" s="54" t="s">
        <v>3159</v>
      </c>
      <c r="D367" s="13" t="s">
        <v>2063</v>
      </c>
      <c r="E367" s="4" t="s">
        <v>2065</v>
      </c>
      <c r="F367" s="4" t="s">
        <v>2064</v>
      </c>
      <c r="G367" s="4" t="s">
        <v>184</v>
      </c>
      <c r="H367" s="4">
        <v>530</v>
      </c>
      <c r="I367" s="5">
        <f t="shared" si="30"/>
        <v>413.85266376657461</v>
      </c>
      <c r="J367" s="4">
        <v>1075</v>
      </c>
      <c r="K367" s="5">
        <f t="shared" si="31"/>
        <v>580.36174622481428</v>
      </c>
      <c r="L367" s="5">
        <v>0</v>
      </c>
      <c r="M367" s="5">
        <v>0</v>
      </c>
      <c r="N367" s="4">
        <v>0</v>
      </c>
      <c r="O367" s="5">
        <f t="shared" si="32"/>
        <v>0</v>
      </c>
      <c r="P367" s="4">
        <v>0</v>
      </c>
      <c r="Q367" s="4">
        <v>0</v>
      </c>
      <c r="R367" s="4">
        <v>0</v>
      </c>
      <c r="S367" s="5">
        <f t="shared" si="33"/>
        <v>0</v>
      </c>
      <c r="T367" s="5">
        <f t="shared" si="34"/>
        <v>1.4023390376246456</v>
      </c>
      <c r="U367" s="5">
        <f t="shared" si="35"/>
        <v>0</v>
      </c>
      <c r="V367" s="4">
        <v>-16</v>
      </c>
      <c r="W367" s="4">
        <v>-2</v>
      </c>
      <c r="X367" s="4">
        <v>0</v>
      </c>
      <c r="Y367" s="4">
        <v>-2</v>
      </c>
      <c r="Z367" s="4">
        <v>0</v>
      </c>
      <c r="AA367" s="4">
        <v>0</v>
      </c>
      <c r="AB367" s="4">
        <v>0</v>
      </c>
      <c r="AC367" s="4">
        <v>0</v>
      </c>
      <c r="AD367" s="4"/>
      <c r="AE367" s="54">
        <v>5.2881240844726562E-4</v>
      </c>
      <c r="AF367" s="54">
        <v>0.55317401885986328</v>
      </c>
    </row>
    <row r="368" spans="1:32" x14ac:dyDescent="0.2">
      <c r="A368" s="53" t="s">
        <v>2130</v>
      </c>
      <c r="B368" s="53" t="s">
        <v>2151</v>
      </c>
      <c r="C368" s="54" t="s">
        <v>3161</v>
      </c>
      <c r="D368" s="13" t="s">
        <v>2066</v>
      </c>
      <c r="E368" s="4" t="s">
        <v>2068</v>
      </c>
      <c r="F368" s="4" t="s">
        <v>2067</v>
      </c>
      <c r="G368" s="17" t="s">
        <v>198</v>
      </c>
      <c r="H368" s="4">
        <v>2537</v>
      </c>
      <c r="I368" s="5">
        <f t="shared" si="30"/>
        <v>1981.0268075015092</v>
      </c>
      <c r="J368" s="4">
        <v>1024</v>
      </c>
      <c r="K368" s="5">
        <f t="shared" si="31"/>
        <v>552.82830524112546</v>
      </c>
      <c r="L368" s="5">
        <v>0</v>
      </c>
      <c r="M368" s="5">
        <v>0</v>
      </c>
      <c r="N368" s="4">
        <v>0</v>
      </c>
      <c r="O368" s="5">
        <f t="shared" si="32"/>
        <v>0</v>
      </c>
      <c r="P368" s="4">
        <v>0</v>
      </c>
      <c r="Q368" s="4">
        <v>0</v>
      </c>
      <c r="R368" s="4">
        <v>0</v>
      </c>
      <c r="S368" s="5">
        <f t="shared" si="33"/>
        <v>0</v>
      </c>
      <c r="T368" s="5">
        <f t="shared" si="34"/>
        <v>0.27906149636529048</v>
      </c>
      <c r="U368" s="5">
        <f t="shared" si="35"/>
        <v>0</v>
      </c>
      <c r="V368" s="4">
        <v>-21</v>
      </c>
      <c r="W368" s="4">
        <v>28</v>
      </c>
      <c r="X368" s="4">
        <v>-21</v>
      </c>
      <c r="Y368" s="4">
        <v>-5</v>
      </c>
      <c r="Z368" s="4">
        <v>0</v>
      </c>
      <c r="AA368" s="4">
        <v>0</v>
      </c>
      <c r="AB368" s="4">
        <v>0</v>
      </c>
      <c r="AC368" s="4">
        <v>0</v>
      </c>
      <c r="AD368" s="4"/>
      <c r="AE368" s="54">
        <v>3.7407875061035162E-4</v>
      </c>
      <c r="AF368" s="54">
        <v>0.47702011466026312</v>
      </c>
    </row>
    <row r="369" spans="1:32" x14ac:dyDescent="0.2">
      <c r="A369" s="53" t="s">
        <v>2130</v>
      </c>
      <c r="B369" s="53" t="s">
        <v>2155</v>
      </c>
      <c r="C369" s="54" t="s">
        <v>3163</v>
      </c>
      <c r="D369" s="20" t="s">
        <v>91</v>
      </c>
      <c r="E369" s="9" t="s">
        <v>93</v>
      </c>
      <c r="F369" s="4" t="s">
        <v>92</v>
      </c>
      <c r="G369" s="4" t="s">
        <v>211</v>
      </c>
      <c r="H369" s="4">
        <v>361</v>
      </c>
      <c r="I369" s="5">
        <f t="shared" si="30"/>
        <v>281.88832381081778</v>
      </c>
      <c r="J369" s="4">
        <v>3550</v>
      </c>
      <c r="K369" s="5">
        <f t="shared" si="31"/>
        <v>1916.5434410214798</v>
      </c>
      <c r="L369" s="5">
        <v>0</v>
      </c>
      <c r="M369" s="5">
        <v>0</v>
      </c>
      <c r="N369" s="4">
        <v>0</v>
      </c>
      <c r="O369" s="5">
        <f t="shared" si="32"/>
        <v>0</v>
      </c>
      <c r="P369" s="4">
        <v>0</v>
      </c>
      <c r="Q369" s="4">
        <v>0</v>
      </c>
      <c r="R369" s="4">
        <v>0</v>
      </c>
      <c r="S369" s="5">
        <f t="shared" si="33"/>
        <v>0</v>
      </c>
      <c r="T369" s="5">
        <f t="shared" si="34"/>
        <v>6.7989458205006015</v>
      </c>
      <c r="U369" s="5">
        <f t="shared" si="35"/>
        <v>0</v>
      </c>
      <c r="V369" s="4">
        <v>1</v>
      </c>
      <c r="W369" s="4">
        <v>-30</v>
      </c>
      <c r="X369" s="4">
        <v>1</v>
      </c>
      <c r="Y369" s="4">
        <v>-30</v>
      </c>
      <c r="Z369" s="4">
        <v>0</v>
      </c>
      <c r="AA369" s="4">
        <v>0</v>
      </c>
      <c r="AB369" s="4">
        <v>0.01</v>
      </c>
      <c r="AC369" s="4">
        <v>0</v>
      </c>
      <c r="AD369" s="4"/>
      <c r="AE369" s="54">
        <v>-3.3867359161376948E-4</v>
      </c>
      <c r="AF369" s="54">
        <v>-0.44984942674636841</v>
      </c>
    </row>
    <row r="370" spans="1:32" x14ac:dyDescent="0.2">
      <c r="A370" s="53" t="s">
        <v>2130</v>
      </c>
      <c r="B370" s="53" t="s">
        <v>2154</v>
      </c>
      <c r="C370" s="54" t="s">
        <v>3164</v>
      </c>
      <c r="D370" s="13" t="s">
        <v>2069</v>
      </c>
      <c r="E370" s="4" t="s">
        <v>2071</v>
      </c>
      <c r="F370" s="4" t="s">
        <v>2070</v>
      </c>
      <c r="G370" s="4" t="s">
        <v>207</v>
      </c>
      <c r="H370" s="4">
        <v>390</v>
      </c>
      <c r="I370" s="5">
        <f t="shared" si="30"/>
        <v>304.5330922055926</v>
      </c>
      <c r="J370" s="4">
        <v>3238</v>
      </c>
      <c r="K370" s="5">
        <f t="shared" si="31"/>
        <v>1748.1035667683245</v>
      </c>
      <c r="L370" s="5">
        <v>0</v>
      </c>
      <c r="M370" s="5">
        <v>0</v>
      </c>
      <c r="N370" s="4">
        <v>0</v>
      </c>
      <c r="O370" s="5">
        <f t="shared" si="32"/>
        <v>0</v>
      </c>
      <c r="P370" s="4">
        <v>0</v>
      </c>
      <c r="Q370" s="4">
        <v>0</v>
      </c>
      <c r="R370" s="4">
        <v>0</v>
      </c>
      <c r="S370" s="5">
        <f t="shared" si="33"/>
        <v>0</v>
      </c>
      <c r="T370" s="5">
        <f t="shared" si="34"/>
        <v>5.7402745760981748</v>
      </c>
      <c r="U370" s="5">
        <f t="shared" si="35"/>
        <v>0</v>
      </c>
      <c r="V370" s="4">
        <v>-14</v>
      </c>
      <c r="W370" s="4">
        <v>27</v>
      </c>
      <c r="X370" s="4">
        <v>-11</v>
      </c>
      <c r="Y370" s="4">
        <v>28</v>
      </c>
      <c r="Z370" s="4">
        <v>0</v>
      </c>
      <c r="AA370" s="4">
        <v>0</v>
      </c>
      <c r="AB370" s="4">
        <v>0</v>
      </c>
      <c r="AC370" s="4">
        <v>0</v>
      </c>
      <c r="AD370" s="4"/>
      <c r="AE370" s="54">
        <v>-2.9075145721435552E-4</v>
      </c>
      <c r="AF370" s="54">
        <v>-0.42181968688964838</v>
      </c>
    </row>
    <row r="371" spans="1:32" x14ac:dyDescent="0.2">
      <c r="A371" s="53" t="s">
        <v>2130</v>
      </c>
      <c r="B371" s="53" t="s">
        <v>2152</v>
      </c>
      <c r="C371" s="54" t="s">
        <v>3165</v>
      </c>
      <c r="D371" s="20" t="s">
        <v>711</v>
      </c>
      <c r="E371" s="9" t="s">
        <v>713</v>
      </c>
      <c r="F371" s="4" t="s">
        <v>712</v>
      </c>
      <c r="G371" s="4" t="s">
        <v>34</v>
      </c>
      <c r="H371" s="4">
        <v>2894</v>
      </c>
      <c r="I371" s="5">
        <f t="shared" si="30"/>
        <v>2259.7917149820128</v>
      </c>
      <c r="J371" s="4">
        <v>2556</v>
      </c>
      <c r="K371" s="5">
        <f t="shared" si="31"/>
        <v>1379.9112775354654</v>
      </c>
      <c r="L371" s="5">
        <v>0</v>
      </c>
      <c r="M371" s="5">
        <v>0</v>
      </c>
      <c r="N371" s="4">
        <v>0</v>
      </c>
      <c r="O371" s="5">
        <f t="shared" si="32"/>
        <v>0</v>
      </c>
      <c r="P371" s="4">
        <v>0</v>
      </c>
      <c r="Q371" s="4">
        <v>0</v>
      </c>
      <c r="R371" s="4">
        <v>0</v>
      </c>
      <c r="S371" s="5">
        <f t="shared" si="33"/>
        <v>0</v>
      </c>
      <c r="T371" s="5">
        <f t="shared" si="34"/>
        <v>0.61063648848117358</v>
      </c>
      <c r="U371" s="5">
        <f t="shared" si="35"/>
        <v>0</v>
      </c>
      <c r="V371" s="4">
        <v>-18</v>
      </c>
      <c r="W371" s="4">
        <v>-14</v>
      </c>
      <c r="X371" s="4">
        <v>-35</v>
      </c>
      <c r="Y371" s="4">
        <v>21</v>
      </c>
      <c r="Z371" s="4">
        <v>0</v>
      </c>
      <c r="AA371" s="4">
        <v>0</v>
      </c>
      <c r="AB371" s="4">
        <v>0</v>
      </c>
      <c r="AC371" s="4">
        <v>0</v>
      </c>
      <c r="AD371" s="4"/>
      <c r="AE371" s="54">
        <v>-6.5162181854248047E-3</v>
      </c>
      <c r="AF371" s="54">
        <v>-0.9948151707649231</v>
      </c>
    </row>
    <row r="372" spans="1:32" x14ac:dyDescent="0.2">
      <c r="A372" s="53" t="s">
        <v>2130</v>
      </c>
      <c r="B372" s="53" t="s">
        <v>2156</v>
      </c>
      <c r="C372" s="54" t="s">
        <v>3167</v>
      </c>
      <c r="D372" s="20" t="s">
        <v>721</v>
      </c>
      <c r="E372" s="9" t="s">
        <v>723</v>
      </c>
      <c r="F372" s="4" t="s">
        <v>722</v>
      </c>
      <c r="G372" s="4" t="s">
        <v>46</v>
      </c>
      <c r="H372" s="4">
        <v>226</v>
      </c>
      <c r="I372" s="5">
        <f t="shared" si="30"/>
        <v>176.47302266272806</v>
      </c>
      <c r="J372" s="4">
        <v>1516</v>
      </c>
      <c r="K372" s="5">
        <f t="shared" si="31"/>
        <v>818.44503002494753</v>
      </c>
      <c r="L372" s="5">
        <v>0</v>
      </c>
      <c r="M372" s="5">
        <v>0</v>
      </c>
      <c r="N372" s="4">
        <v>0</v>
      </c>
      <c r="O372" s="5">
        <f t="shared" si="32"/>
        <v>0</v>
      </c>
      <c r="P372" s="4">
        <v>0</v>
      </c>
      <c r="Q372" s="4">
        <v>0</v>
      </c>
      <c r="R372" s="4">
        <v>0</v>
      </c>
      <c r="S372" s="5">
        <f t="shared" si="33"/>
        <v>0</v>
      </c>
      <c r="T372" s="5">
        <f t="shared" si="34"/>
        <v>4.6377911914000833</v>
      </c>
      <c r="U372" s="5">
        <f t="shared" si="35"/>
        <v>0</v>
      </c>
      <c r="V372" s="4">
        <v>-43</v>
      </c>
      <c r="W372" s="4">
        <v>11</v>
      </c>
      <c r="X372" s="4">
        <v>12</v>
      </c>
      <c r="Y372" s="4">
        <v>11</v>
      </c>
      <c r="Z372" s="4">
        <v>0</v>
      </c>
      <c r="AA372" s="4">
        <v>0</v>
      </c>
      <c r="AB372" s="4">
        <v>0</v>
      </c>
      <c r="AC372" s="4">
        <v>0</v>
      </c>
      <c r="AD372" s="4"/>
      <c r="AE372" s="54">
        <v>-5.0187110900878913E-5</v>
      </c>
      <c r="AF372" s="54">
        <v>-0.20471394062042239</v>
      </c>
    </row>
    <row r="373" spans="1:32" x14ac:dyDescent="0.2">
      <c r="A373" s="53" t="s">
        <v>2130</v>
      </c>
      <c r="B373" s="53" t="s">
        <v>2153</v>
      </c>
      <c r="C373" s="54" t="s">
        <v>3168</v>
      </c>
      <c r="D373" s="20" t="s">
        <v>718</v>
      </c>
      <c r="E373" s="9" t="s">
        <v>720</v>
      </c>
      <c r="F373" s="4" t="s">
        <v>719</v>
      </c>
      <c r="G373" s="12" t="s">
        <v>22</v>
      </c>
      <c r="H373" s="4">
        <v>1064</v>
      </c>
      <c r="I373" s="5">
        <f t="shared" si="30"/>
        <v>830.82874386346293</v>
      </c>
      <c r="J373" s="4">
        <v>4195</v>
      </c>
      <c r="K373" s="5">
        <f t="shared" si="31"/>
        <v>2264.7604887563684</v>
      </c>
      <c r="L373" s="5">
        <v>0</v>
      </c>
      <c r="M373" s="5">
        <v>0</v>
      </c>
      <c r="N373" s="4">
        <v>0</v>
      </c>
      <c r="O373" s="5">
        <f t="shared" si="32"/>
        <v>0</v>
      </c>
      <c r="P373" s="4">
        <v>0</v>
      </c>
      <c r="Q373" s="4">
        <v>0</v>
      </c>
      <c r="R373" s="4">
        <v>0</v>
      </c>
      <c r="S373" s="5">
        <f t="shared" si="33"/>
        <v>0</v>
      </c>
      <c r="T373" s="5">
        <f t="shared" si="34"/>
        <v>2.7259053150050327</v>
      </c>
      <c r="U373" s="5">
        <f t="shared" si="35"/>
        <v>0</v>
      </c>
      <c r="V373" s="4">
        <v>-26</v>
      </c>
      <c r="W373" s="4">
        <v>35</v>
      </c>
      <c r="X373" s="4">
        <v>18</v>
      </c>
      <c r="Y373" s="4">
        <v>17</v>
      </c>
      <c r="Z373" s="4">
        <v>0</v>
      </c>
      <c r="AA373" s="4">
        <v>0</v>
      </c>
      <c r="AB373" s="4">
        <v>0</v>
      </c>
      <c r="AC373" s="4">
        <v>0</v>
      </c>
      <c r="AD373" s="4"/>
      <c r="AE373" s="54">
        <v>-3.0690431594848627E-4</v>
      </c>
      <c r="AF373" s="54">
        <v>-0.43125671148300171</v>
      </c>
    </row>
    <row r="374" spans="1:32" x14ac:dyDescent="0.2">
      <c r="A374" s="53" t="s">
        <v>2130</v>
      </c>
      <c r="B374" s="53" t="s">
        <v>2158</v>
      </c>
      <c r="C374" s="54" t="s">
        <v>3169</v>
      </c>
      <c r="D374" s="13" t="s">
        <v>2072</v>
      </c>
      <c r="E374" s="4" t="s">
        <v>2074</v>
      </c>
      <c r="F374" s="4" t="s">
        <v>2073</v>
      </c>
      <c r="G374" s="4" t="s">
        <v>218</v>
      </c>
      <c r="H374" s="4">
        <v>1436</v>
      </c>
      <c r="I374" s="5">
        <f t="shared" si="30"/>
        <v>1121.3064625826437</v>
      </c>
      <c r="J374" s="4">
        <v>1345</v>
      </c>
      <c r="K374" s="5">
        <f t="shared" si="31"/>
        <v>726.12702202081425</v>
      </c>
      <c r="L374" s="5">
        <v>0</v>
      </c>
      <c r="M374" s="5">
        <v>0</v>
      </c>
      <c r="N374" s="4">
        <v>0</v>
      </c>
      <c r="O374" s="5">
        <f t="shared" si="32"/>
        <v>0</v>
      </c>
      <c r="P374" s="4">
        <v>0</v>
      </c>
      <c r="Q374" s="4">
        <v>0</v>
      </c>
      <c r="R374" s="4">
        <v>0</v>
      </c>
      <c r="S374" s="5">
        <f t="shared" si="33"/>
        <v>0</v>
      </c>
      <c r="T374" s="5">
        <f t="shared" si="34"/>
        <v>0.6475723151977254</v>
      </c>
      <c r="U374" s="5">
        <f t="shared" si="35"/>
        <v>0</v>
      </c>
      <c r="V374" s="4">
        <v>-21</v>
      </c>
      <c r="W374" s="4">
        <v>41</v>
      </c>
      <c r="X374" s="4">
        <v>17</v>
      </c>
      <c r="Y374" s="4">
        <v>40</v>
      </c>
      <c r="Z374" s="4">
        <v>0</v>
      </c>
      <c r="AA374" s="4">
        <v>0</v>
      </c>
      <c r="AB374" s="4">
        <v>0</v>
      </c>
      <c r="AC374" s="4">
        <v>0</v>
      </c>
      <c r="AD374" s="4"/>
      <c r="AE374" s="54">
        <v>-1.5103816986083979E-4</v>
      </c>
      <c r="AF374" s="54">
        <v>-0.32259750366210938</v>
      </c>
    </row>
    <row r="375" spans="1:32" x14ac:dyDescent="0.2">
      <c r="A375" s="53" t="s">
        <v>2130</v>
      </c>
      <c r="B375" s="53" t="s">
        <v>2159</v>
      </c>
      <c r="C375" s="54" t="s">
        <v>3170</v>
      </c>
      <c r="D375" s="13" t="s">
        <v>2075</v>
      </c>
      <c r="E375" s="4" t="s">
        <v>2077</v>
      </c>
      <c r="F375" s="4" t="s">
        <v>2076</v>
      </c>
      <c r="G375" s="24" t="s">
        <v>225</v>
      </c>
      <c r="H375" s="4">
        <v>1211</v>
      </c>
      <c r="I375" s="5">
        <f t="shared" si="30"/>
        <v>945.61429400249403</v>
      </c>
      <c r="J375" s="4">
        <v>4436</v>
      </c>
      <c r="K375" s="5">
        <f t="shared" si="31"/>
        <v>2394.869494189094</v>
      </c>
      <c r="L375" s="5">
        <v>0</v>
      </c>
      <c r="M375" s="5">
        <v>0</v>
      </c>
      <c r="N375" s="4">
        <v>0</v>
      </c>
      <c r="O375" s="5">
        <f t="shared" si="32"/>
        <v>0</v>
      </c>
      <c r="P375" s="4">
        <v>0</v>
      </c>
      <c r="Q375" s="4">
        <v>0</v>
      </c>
      <c r="R375" s="4">
        <v>0</v>
      </c>
      <c r="S375" s="5">
        <f t="shared" si="33"/>
        <v>0</v>
      </c>
      <c r="T375" s="5">
        <f t="shared" si="34"/>
        <v>2.532607120449025</v>
      </c>
      <c r="U375" s="5">
        <f t="shared" si="35"/>
        <v>0</v>
      </c>
      <c r="V375" s="4">
        <v>3</v>
      </c>
      <c r="W375" s="4">
        <v>18</v>
      </c>
      <c r="X375" s="4">
        <v>-46</v>
      </c>
      <c r="Y375" s="4">
        <v>5</v>
      </c>
      <c r="Z375" s="4">
        <v>0</v>
      </c>
      <c r="AA375" s="4">
        <v>0</v>
      </c>
      <c r="AB375" s="4">
        <v>0</v>
      </c>
      <c r="AC375" s="4">
        <v>0</v>
      </c>
      <c r="AD375" s="4"/>
      <c r="AE375" s="54">
        <v>1.031279563903809E-3</v>
      </c>
      <c r="AF375" s="54">
        <v>0.72177624702453613</v>
      </c>
    </row>
    <row r="376" spans="1:32" x14ac:dyDescent="0.2">
      <c r="A376" s="53" t="s">
        <v>2130</v>
      </c>
      <c r="B376" s="53" t="s">
        <v>2160</v>
      </c>
      <c r="C376" s="54" t="s">
        <v>3171</v>
      </c>
      <c r="D376" s="13" t="s">
        <v>2078</v>
      </c>
      <c r="E376" s="4" t="s">
        <v>2080</v>
      </c>
      <c r="F376" s="4" t="s">
        <v>2079</v>
      </c>
      <c r="G376" s="17" t="s">
        <v>229</v>
      </c>
      <c r="H376" s="4">
        <v>2443</v>
      </c>
      <c r="I376" s="5">
        <f t="shared" si="30"/>
        <v>1907.6265237391353</v>
      </c>
      <c r="J376" s="4">
        <v>3946</v>
      </c>
      <c r="K376" s="5">
        <f t="shared" si="31"/>
        <v>2130.3325121889461</v>
      </c>
      <c r="L376" s="5">
        <v>0</v>
      </c>
      <c r="M376" s="5">
        <v>0</v>
      </c>
      <c r="N376" s="4">
        <v>0</v>
      </c>
      <c r="O376" s="5">
        <f t="shared" si="32"/>
        <v>0</v>
      </c>
      <c r="P376" s="4">
        <v>0</v>
      </c>
      <c r="Q376" s="4">
        <v>0</v>
      </c>
      <c r="R376" s="4">
        <v>0</v>
      </c>
      <c r="S376" s="5">
        <f t="shared" si="33"/>
        <v>0</v>
      </c>
      <c r="T376" s="5">
        <f t="shared" si="34"/>
        <v>1.1167450681139017</v>
      </c>
      <c r="U376" s="5">
        <f t="shared" si="35"/>
        <v>0</v>
      </c>
      <c r="V376" s="4">
        <v>0</v>
      </c>
      <c r="W376" s="4">
        <v>-11</v>
      </c>
      <c r="X376" s="4">
        <v>1</v>
      </c>
      <c r="Y376" s="4">
        <v>41</v>
      </c>
      <c r="Z376" s="4">
        <v>0</v>
      </c>
      <c r="AA376" s="4">
        <v>0</v>
      </c>
      <c r="AB376" s="4">
        <v>0</v>
      </c>
      <c r="AC376" s="4">
        <v>0</v>
      </c>
      <c r="AD376" s="4"/>
      <c r="AE376" s="54">
        <v>1.0435581207275391E-3</v>
      </c>
      <c r="AF376" s="54">
        <v>0.72177624702453613</v>
      </c>
    </row>
    <row r="377" spans="1:32" x14ac:dyDescent="0.2">
      <c r="A377" s="53" t="s">
        <v>2130</v>
      </c>
      <c r="B377" s="53" t="s">
        <v>2162</v>
      </c>
      <c r="C377" s="54" t="s">
        <v>3173</v>
      </c>
      <c r="D377" s="20" t="s">
        <v>724</v>
      </c>
      <c r="E377" s="9" t="s">
        <v>726</v>
      </c>
      <c r="F377" s="4" t="s">
        <v>725</v>
      </c>
      <c r="G377" s="17" t="s">
        <v>77</v>
      </c>
      <c r="H377" s="4">
        <v>1658</v>
      </c>
      <c r="I377" s="5">
        <f t="shared" si="30"/>
        <v>1294.6560689150579</v>
      </c>
      <c r="J377" s="4">
        <v>2750</v>
      </c>
      <c r="K377" s="5">
        <f t="shared" si="31"/>
        <v>1484.6463275518504</v>
      </c>
      <c r="L377" s="5">
        <v>0</v>
      </c>
      <c r="M377" s="5">
        <v>0</v>
      </c>
      <c r="N377" s="4">
        <v>0</v>
      </c>
      <c r="O377" s="5">
        <f t="shared" si="32"/>
        <v>0</v>
      </c>
      <c r="P377" s="4">
        <v>0</v>
      </c>
      <c r="Q377" s="4">
        <v>0</v>
      </c>
      <c r="R377" s="4">
        <v>0</v>
      </c>
      <c r="S377" s="5">
        <f t="shared" si="33"/>
        <v>0</v>
      </c>
      <c r="T377" s="5">
        <f t="shared" si="34"/>
        <v>1.146749598753287</v>
      </c>
      <c r="U377" s="5">
        <f t="shared" si="35"/>
        <v>0</v>
      </c>
      <c r="V377" s="4">
        <v>-1</v>
      </c>
      <c r="W377" s="4">
        <v>-5</v>
      </c>
      <c r="X377" s="4">
        <v>50</v>
      </c>
      <c r="Y377" s="4">
        <v>-42</v>
      </c>
      <c r="Z377" s="4">
        <v>0</v>
      </c>
      <c r="AA377" s="4">
        <v>0</v>
      </c>
      <c r="AB377" s="4">
        <v>0</v>
      </c>
      <c r="AC377" s="4">
        <v>0</v>
      </c>
      <c r="AD377" s="4"/>
      <c r="AE377" s="54">
        <v>1.094937324523926E-3</v>
      </c>
      <c r="AF377" s="54">
        <v>0.73794448375701904</v>
      </c>
    </row>
    <row r="378" spans="1:32" x14ac:dyDescent="0.2">
      <c r="A378" s="53" t="s">
        <v>2130</v>
      </c>
      <c r="B378" s="53" t="s">
        <v>2163</v>
      </c>
      <c r="C378" s="54" t="s">
        <v>3175</v>
      </c>
      <c r="D378" s="13" t="s">
        <v>2081</v>
      </c>
      <c r="E378" s="4" t="s">
        <v>2083</v>
      </c>
      <c r="F378" s="4" t="s">
        <v>2082</v>
      </c>
      <c r="G378" s="17" t="s">
        <v>90</v>
      </c>
      <c r="H378" s="4">
        <v>972</v>
      </c>
      <c r="I378" s="5">
        <f t="shared" si="30"/>
        <v>758.99016826624631</v>
      </c>
      <c r="J378" s="4">
        <v>4980</v>
      </c>
      <c r="K378" s="5">
        <f t="shared" si="31"/>
        <v>2688.5595313484423</v>
      </c>
      <c r="L378" s="5">
        <v>0</v>
      </c>
      <c r="M378" s="5">
        <v>0</v>
      </c>
      <c r="N378" s="4">
        <v>0</v>
      </c>
      <c r="O378" s="5">
        <f t="shared" si="32"/>
        <v>0</v>
      </c>
      <c r="P378" s="4">
        <v>0</v>
      </c>
      <c r="Q378" s="4">
        <v>0</v>
      </c>
      <c r="R378" s="4">
        <v>0</v>
      </c>
      <c r="S378" s="5">
        <f t="shared" si="33"/>
        <v>0</v>
      </c>
      <c r="T378" s="5">
        <f t="shared" si="34"/>
        <v>3.5422850568537561</v>
      </c>
      <c r="U378" s="5">
        <f t="shared" si="35"/>
        <v>0</v>
      </c>
      <c r="V378" s="4">
        <v>-32</v>
      </c>
      <c r="W378" s="4">
        <v>30</v>
      </c>
      <c r="X378" s="4">
        <v>29</v>
      </c>
      <c r="Y378" s="4">
        <v>2</v>
      </c>
      <c r="Z378" s="4">
        <v>0</v>
      </c>
      <c r="AA378" s="4">
        <v>0</v>
      </c>
      <c r="AB378" s="4">
        <v>0</v>
      </c>
      <c r="AC378" s="4">
        <v>0</v>
      </c>
      <c r="AD378" s="4"/>
      <c r="AE378" s="54">
        <v>6.9946050643920898E-4</v>
      </c>
      <c r="AF378" s="54">
        <v>0.62108355760574341</v>
      </c>
    </row>
    <row r="379" spans="1:32" x14ac:dyDescent="0.2">
      <c r="A379" s="53" t="s">
        <v>2556</v>
      </c>
      <c r="B379" s="53" t="s">
        <v>2558</v>
      </c>
      <c r="C379" s="54" t="s">
        <v>3177</v>
      </c>
      <c r="D379" s="13" t="s">
        <v>1865</v>
      </c>
      <c r="E379" s="4" t="s">
        <v>1867</v>
      </c>
      <c r="F379" s="4" t="s">
        <v>1866</v>
      </c>
      <c r="G379" s="22" t="s">
        <v>809</v>
      </c>
      <c r="H379" s="4">
        <v>1326</v>
      </c>
      <c r="I379" s="5">
        <f t="shared" si="30"/>
        <v>1035.4125134990149</v>
      </c>
      <c r="J379" s="4">
        <v>3421</v>
      </c>
      <c r="K379" s="5">
        <f t="shared" si="31"/>
        <v>1846.9000314745022</v>
      </c>
      <c r="L379" s="5">
        <v>0</v>
      </c>
      <c r="M379" s="5">
        <v>0</v>
      </c>
      <c r="N379" s="4">
        <v>0</v>
      </c>
      <c r="O379" s="5">
        <f t="shared" si="32"/>
        <v>0</v>
      </c>
      <c r="P379" s="4">
        <v>0</v>
      </c>
      <c r="Q379" s="4">
        <v>0</v>
      </c>
      <c r="R379" s="4">
        <v>0</v>
      </c>
      <c r="S379" s="5">
        <f t="shared" si="33"/>
        <v>0</v>
      </c>
      <c r="T379" s="5">
        <f t="shared" si="34"/>
        <v>1.7837335432939592</v>
      </c>
      <c r="U379" s="5">
        <f t="shared" si="35"/>
        <v>0</v>
      </c>
      <c r="V379" s="4">
        <v>-29</v>
      </c>
      <c r="W379" s="4">
        <v>36</v>
      </c>
      <c r="X379" s="4">
        <v>30</v>
      </c>
      <c r="Y379" s="4">
        <v>33</v>
      </c>
      <c r="Z379" s="4">
        <v>0</v>
      </c>
      <c r="AA379" s="4">
        <v>0</v>
      </c>
      <c r="AB379" s="4">
        <v>0</v>
      </c>
      <c r="AC379" s="4">
        <v>0</v>
      </c>
      <c r="AD379" s="4"/>
      <c r="AE379" s="54">
        <v>-3.8051605224609379E-3</v>
      </c>
      <c r="AF379" s="54">
        <v>-0.96974587440490723</v>
      </c>
    </row>
    <row r="380" spans="1:32" x14ac:dyDescent="0.2">
      <c r="A380" s="53" t="s">
        <v>2556</v>
      </c>
      <c r="B380" s="53" t="s">
        <v>2557</v>
      </c>
      <c r="C380" s="54" t="s">
        <v>3178</v>
      </c>
      <c r="D380" s="13" t="s">
        <v>1859</v>
      </c>
      <c r="E380" s="4" t="s">
        <v>1861</v>
      </c>
      <c r="F380" s="4" t="s">
        <v>1860</v>
      </c>
      <c r="G380" s="4" t="s">
        <v>253</v>
      </c>
      <c r="H380" s="4">
        <v>2561</v>
      </c>
      <c r="I380" s="5">
        <f t="shared" si="30"/>
        <v>1999.7673054833915</v>
      </c>
      <c r="J380" s="4">
        <v>4352</v>
      </c>
      <c r="K380" s="5">
        <f t="shared" si="31"/>
        <v>2349.5202972747834</v>
      </c>
      <c r="L380" s="5">
        <v>0</v>
      </c>
      <c r="M380" s="5">
        <v>0</v>
      </c>
      <c r="N380" s="4">
        <v>0</v>
      </c>
      <c r="O380" s="5">
        <f t="shared" si="32"/>
        <v>0</v>
      </c>
      <c r="P380" s="4">
        <v>0</v>
      </c>
      <c r="Q380" s="4">
        <v>0</v>
      </c>
      <c r="R380" s="4">
        <v>0</v>
      </c>
      <c r="S380" s="5">
        <f t="shared" si="33"/>
        <v>0</v>
      </c>
      <c r="T380" s="5">
        <f t="shared" si="34"/>
        <v>1.1748968446640586</v>
      </c>
      <c r="U380" s="5">
        <f t="shared" si="35"/>
        <v>0</v>
      </c>
      <c r="V380" s="4">
        <v>-47</v>
      </c>
      <c r="W380" s="4">
        <v>-18</v>
      </c>
      <c r="X380" s="4">
        <v>16</v>
      </c>
      <c r="Y380" s="4">
        <v>-16</v>
      </c>
      <c r="Z380" s="4">
        <v>0</v>
      </c>
      <c r="AA380" s="4">
        <v>0</v>
      </c>
      <c r="AB380" s="4">
        <v>0</v>
      </c>
      <c r="AC380" s="4">
        <v>0</v>
      </c>
      <c r="AD380" s="4"/>
      <c r="AE380" s="54">
        <v>1.088142395019531E-3</v>
      </c>
      <c r="AF380" s="54">
        <v>0.71053868532180786</v>
      </c>
    </row>
    <row r="381" spans="1:32" x14ac:dyDescent="0.2">
      <c r="A381" s="53" t="s">
        <v>2556</v>
      </c>
      <c r="B381" s="53" t="s">
        <v>2555</v>
      </c>
      <c r="C381" s="54" t="s">
        <v>3179</v>
      </c>
      <c r="D381" s="13" t="s">
        <v>1856</v>
      </c>
      <c r="E381" s="4" t="s">
        <v>1858</v>
      </c>
      <c r="F381" s="4" t="s">
        <v>1857</v>
      </c>
      <c r="G381" s="4" t="s">
        <v>401</v>
      </c>
      <c r="H381" s="4">
        <v>1954</v>
      </c>
      <c r="I381" s="5">
        <f t="shared" si="30"/>
        <v>1525.788877358277</v>
      </c>
      <c r="J381" s="4">
        <v>2008</v>
      </c>
      <c r="K381" s="5">
        <f t="shared" si="31"/>
        <v>1084.0617548087694</v>
      </c>
      <c r="L381" s="5">
        <v>0</v>
      </c>
      <c r="M381" s="5">
        <v>0</v>
      </c>
      <c r="N381" s="4">
        <v>0</v>
      </c>
      <c r="O381" s="5">
        <f t="shared" si="32"/>
        <v>0</v>
      </c>
      <c r="P381" s="4">
        <v>0</v>
      </c>
      <c r="Q381" s="4">
        <v>0</v>
      </c>
      <c r="R381" s="4">
        <v>0</v>
      </c>
      <c r="S381" s="5">
        <f t="shared" si="33"/>
        <v>0</v>
      </c>
      <c r="T381" s="5">
        <f t="shared" si="34"/>
        <v>0.71049263164488008</v>
      </c>
      <c r="U381" s="5">
        <f t="shared" si="35"/>
        <v>0</v>
      </c>
      <c r="V381" s="4">
        <v>-29</v>
      </c>
      <c r="W381" s="4">
        <v>40</v>
      </c>
      <c r="X381" s="4">
        <v>13</v>
      </c>
      <c r="Y381" s="4">
        <v>3</v>
      </c>
      <c r="Z381" s="4">
        <v>0</v>
      </c>
      <c r="AA381" s="4">
        <v>0</v>
      </c>
      <c r="AB381" s="4">
        <v>0</v>
      </c>
      <c r="AC381" s="4">
        <v>0</v>
      </c>
      <c r="AD381" s="4"/>
      <c r="AE381" s="54">
        <v>-2.4785041809082031E-2</v>
      </c>
      <c r="AF381" s="54">
        <v>-0.99950599670410156</v>
      </c>
    </row>
    <row r="382" spans="1:32" x14ac:dyDescent="0.2">
      <c r="A382" s="53" t="s">
        <v>2652</v>
      </c>
      <c r="B382" s="53" t="s">
        <v>2651</v>
      </c>
      <c r="C382" s="54" t="s">
        <v>3180</v>
      </c>
      <c r="D382" s="13" t="s">
        <v>230</v>
      </c>
      <c r="E382" s="4" t="s">
        <v>232</v>
      </c>
      <c r="F382" s="4" t="s">
        <v>231</v>
      </c>
      <c r="G382" s="4" t="s">
        <v>1436</v>
      </c>
      <c r="H382" s="4">
        <v>3436</v>
      </c>
      <c r="I382" s="5">
        <f t="shared" si="30"/>
        <v>2683.0146277395288</v>
      </c>
      <c r="J382" s="4">
        <v>2509</v>
      </c>
      <c r="K382" s="5">
        <f t="shared" si="31"/>
        <v>1354.5373221191248</v>
      </c>
      <c r="L382" s="5">
        <v>0</v>
      </c>
      <c r="M382" s="5">
        <v>0</v>
      </c>
      <c r="N382" s="4">
        <v>0</v>
      </c>
      <c r="O382" s="5">
        <f t="shared" si="32"/>
        <v>0</v>
      </c>
      <c r="P382" s="4">
        <v>0</v>
      </c>
      <c r="Q382" s="4">
        <v>0</v>
      </c>
      <c r="R382" s="4">
        <v>0</v>
      </c>
      <c r="S382" s="5">
        <f t="shared" si="33"/>
        <v>0</v>
      </c>
      <c r="T382" s="5">
        <f t="shared" si="34"/>
        <v>0.50485648051063303</v>
      </c>
      <c r="U382" s="5">
        <f t="shared" si="35"/>
        <v>0</v>
      </c>
      <c r="V382" s="4">
        <v>39</v>
      </c>
      <c r="W382" s="4">
        <v>-6</v>
      </c>
      <c r="X382" s="4">
        <v>-28</v>
      </c>
      <c r="Y382" s="4">
        <v>1</v>
      </c>
      <c r="Z382" s="4">
        <v>0</v>
      </c>
      <c r="AA382" s="4">
        <v>0</v>
      </c>
      <c r="AB382" s="4">
        <v>0</v>
      </c>
      <c r="AC382" s="4">
        <v>0</v>
      </c>
      <c r="AD382" s="4"/>
      <c r="AE382" s="54">
        <v>-7.4720382690429688E-4</v>
      </c>
      <c r="AF382" s="54">
        <v>-0.62811887264251709</v>
      </c>
    </row>
    <row r="383" spans="1:32" x14ac:dyDescent="0.2">
      <c r="A383" s="53" t="s">
        <v>2527</v>
      </c>
      <c r="B383" s="53" t="s">
        <v>2526</v>
      </c>
      <c r="C383" s="54" t="s">
        <v>3181</v>
      </c>
      <c r="D383" s="13" t="s">
        <v>1521</v>
      </c>
      <c r="E383" s="4" t="s">
        <v>1523</v>
      </c>
      <c r="F383" s="4" t="s">
        <v>1522</v>
      </c>
      <c r="G383" s="4" t="s">
        <v>365</v>
      </c>
      <c r="H383" s="4">
        <v>1810</v>
      </c>
      <c r="I383" s="5">
        <f t="shared" si="30"/>
        <v>1413.3458894669814</v>
      </c>
      <c r="J383" s="4">
        <v>756</v>
      </c>
      <c r="K383" s="5">
        <f t="shared" si="31"/>
        <v>408.14277222879963</v>
      </c>
      <c r="L383" s="5">
        <v>0</v>
      </c>
      <c r="M383" s="5">
        <v>0</v>
      </c>
      <c r="N383" s="4">
        <v>0</v>
      </c>
      <c r="O383" s="5">
        <f t="shared" si="32"/>
        <v>0</v>
      </c>
      <c r="P383" s="4">
        <v>0</v>
      </c>
      <c r="Q383" s="4">
        <v>0</v>
      </c>
      <c r="R383" s="4">
        <v>0</v>
      </c>
      <c r="S383" s="5">
        <f t="shared" si="33"/>
        <v>0</v>
      </c>
      <c r="T383" s="5">
        <f t="shared" si="34"/>
        <v>0.28877769785195578</v>
      </c>
      <c r="U383" s="5">
        <f t="shared" si="35"/>
        <v>0</v>
      </c>
      <c r="V383" s="4">
        <v>47</v>
      </c>
      <c r="W383" s="4">
        <v>-24</v>
      </c>
      <c r="X383" s="4">
        <v>-30</v>
      </c>
      <c r="Y383" s="4">
        <v>-24</v>
      </c>
      <c r="Z383" s="4">
        <v>0</v>
      </c>
      <c r="AA383" s="4">
        <v>0</v>
      </c>
      <c r="AB383" s="4">
        <v>0</v>
      </c>
      <c r="AC383" s="4">
        <v>0</v>
      </c>
      <c r="AD383" s="4"/>
      <c r="AE383" s="54">
        <v>-3.6361813545227051E-4</v>
      </c>
      <c r="AF383" s="54">
        <v>-0.4680601954460144</v>
      </c>
    </row>
    <row r="384" spans="1:32" x14ac:dyDescent="0.2">
      <c r="A384" s="53" t="s">
        <v>2243</v>
      </c>
      <c r="B384" s="53" t="s">
        <v>2523</v>
      </c>
      <c r="C384" s="54" t="s">
        <v>3182</v>
      </c>
      <c r="D384" s="13" t="s">
        <v>1518</v>
      </c>
      <c r="E384" s="4" t="s">
        <v>1520</v>
      </c>
      <c r="F384" s="4" t="s">
        <v>1519</v>
      </c>
      <c r="G384" s="4" t="s">
        <v>365</v>
      </c>
      <c r="H384" s="4">
        <v>650</v>
      </c>
      <c r="I384" s="5">
        <f t="shared" si="30"/>
        <v>507.55515367598775</v>
      </c>
      <c r="J384" s="4">
        <v>5020</v>
      </c>
      <c r="K384" s="5">
        <f t="shared" si="31"/>
        <v>2710.1543870219239</v>
      </c>
      <c r="L384" s="5">
        <v>0</v>
      </c>
      <c r="M384" s="5">
        <v>0</v>
      </c>
      <c r="N384" s="4">
        <v>0</v>
      </c>
      <c r="O384" s="5">
        <f t="shared" si="32"/>
        <v>0</v>
      </c>
      <c r="P384" s="4">
        <v>0</v>
      </c>
      <c r="Q384" s="4">
        <v>0</v>
      </c>
      <c r="R384" s="4">
        <v>0</v>
      </c>
      <c r="S384" s="5">
        <f t="shared" si="33"/>
        <v>0</v>
      </c>
      <c r="T384" s="5">
        <f t="shared" si="34"/>
        <v>5.3396253932080606</v>
      </c>
      <c r="U384" s="5">
        <f t="shared" si="35"/>
        <v>0</v>
      </c>
      <c r="V384" s="4">
        <v>-37</v>
      </c>
      <c r="W384" s="4">
        <v>21</v>
      </c>
      <c r="X384" s="4">
        <v>47</v>
      </c>
      <c r="Y384" s="4">
        <v>49</v>
      </c>
      <c r="Z384" s="4">
        <v>0</v>
      </c>
      <c r="AA384" s="4">
        <v>0</v>
      </c>
      <c r="AB384" s="4">
        <v>0</v>
      </c>
      <c r="AC384" s="4">
        <v>0</v>
      </c>
      <c r="AD384" s="4"/>
      <c r="AE384" s="54">
        <v>-6.690526008605957E-2</v>
      </c>
      <c r="AF384" s="54">
        <v>-0.99989223480224609</v>
      </c>
    </row>
    <row r="385" spans="1:32" x14ac:dyDescent="0.2">
      <c r="A385" s="53" t="s">
        <v>2243</v>
      </c>
      <c r="B385" s="53" t="s">
        <v>2524</v>
      </c>
      <c r="C385" s="54" t="s">
        <v>3183</v>
      </c>
      <c r="D385" s="13" t="s">
        <v>1295</v>
      </c>
      <c r="E385" s="4" t="s">
        <v>1297</v>
      </c>
      <c r="F385" s="4" t="s">
        <v>1296</v>
      </c>
      <c r="G385" s="4" t="s">
        <v>365</v>
      </c>
      <c r="H385" s="4">
        <v>2799</v>
      </c>
      <c r="I385" s="5">
        <f t="shared" si="30"/>
        <v>2185.6105771370608</v>
      </c>
      <c r="J385" s="4">
        <v>4856</v>
      </c>
      <c r="K385" s="5">
        <f t="shared" si="31"/>
        <v>2621.6154787606497</v>
      </c>
      <c r="L385" s="5">
        <v>0</v>
      </c>
      <c r="M385" s="5">
        <v>0</v>
      </c>
      <c r="N385" s="4">
        <v>0</v>
      </c>
      <c r="O385" s="5">
        <f t="shared" si="32"/>
        <v>0</v>
      </c>
      <c r="P385" s="4">
        <v>0</v>
      </c>
      <c r="Q385" s="4">
        <v>0</v>
      </c>
      <c r="R385" s="4">
        <v>0</v>
      </c>
      <c r="S385" s="5">
        <f t="shared" si="33"/>
        <v>0</v>
      </c>
      <c r="T385" s="5">
        <f t="shared" si="34"/>
        <v>1.1994888321755439</v>
      </c>
      <c r="U385" s="5">
        <f t="shared" si="35"/>
        <v>0</v>
      </c>
      <c r="V385" s="4">
        <v>12</v>
      </c>
      <c r="W385" s="4">
        <v>-1</v>
      </c>
      <c r="X385" s="4">
        <v>2</v>
      </c>
      <c r="Y385" s="4">
        <v>29</v>
      </c>
      <c r="Z385" s="4">
        <v>0</v>
      </c>
      <c r="AA385" s="4">
        <v>0</v>
      </c>
      <c r="AB385" s="4">
        <v>0</v>
      </c>
      <c r="AC385" s="4">
        <v>0</v>
      </c>
      <c r="AD385" s="4"/>
      <c r="AE385" s="54">
        <v>2.0613670349121089E-3</v>
      </c>
      <c r="AF385" s="54">
        <v>0.87932479381561279</v>
      </c>
    </row>
    <row r="386" spans="1:32" x14ac:dyDescent="0.2">
      <c r="A386" s="53" t="s">
        <v>2243</v>
      </c>
      <c r="B386" s="53" t="s">
        <v>2521</v>
      </c>
      <c r="C386" s="54" t="s">
        <v>3186</v>
      </c>
      <c r="D386" s="13" t="s">
        <v>1643</v>
      </c>
      <c r="E386" s="4" t="s">
        <v>1645</v>
      </c>
      <c r="F386" s="4" t="s">
        <v>1644</v>
      </c>
      <c r="G386" s="17" t="s">
        <v>293</v>
      </c>
      <c r="H386" s="4">
        <v>240</v>
      </c>
      <c r="I386" s="5">
        <f t="shared" ref="I386:I449" si="36">H386/H$677*1000000</f>
        <v>187.40497981882623</v>
      </c>
      <c r="J386" s="4">
        <v>800</v>
      </c>
      <c r="K386" s="5">
        <f t="shared" ref="K386:K449" si="37">J386/J$677*1000000</f>
        <v>431.89711346962923</v>
      </c>
      <c r="L386" s="5">
        <v>0</v>
      </c>
      <c r="M386" s="5">
        <v>0</v>
      </c>
      <c r="N386" s="4">
        <v>0</v>
      </c>
      <c r="O386" s="5">
        <f t="shared" ref="O386:O449" si="38">AVERAGE(L386:N386)</f>
        <v>0</v>
      </c>
      <c r="P386" s="4">
        <v>0</v>
      </c>
      <c r="Q386" s="4">
        <v>0</v>
      </c>
      <c r="R386" s="4">
        <v>0</v>
      </c>
      <c r="S386" s="5">
        <f t="shared" ref="S386:S449" si="39">AVERAGE(P386:R386)</f>
        <v>0</v>
      </c>
      <c r="T386" s="5">
        <f t="shared" ref="T386:T449" si="40">K386/I386</f>
        <v>2.3046191936156966</v>
      </c>
      <c r="U386" s="5">
        <f t="shared" ref="U386:U449" si="41">S386/((O386+1)*T386)</f>
        <v>0</v>
      </c>
      <c r="V386" s="4">
        <v>43</v>
      </c>
      <c r="W386" s="4">
        <v>-2</v>
      </c>
      <c r="X386" s="4">
        <v>-39</v>
      </c>
      <c r="Y386" s="4">
        <v>-1</v>
      </c>
      <c r="Z386" s="4">
        <v>0</v>
      </c>
      <c r="AA386" s="4">
        <v>0</v>
      </c>
      <c r="AB386" s="4">
        <v>0</v>
      </c>
      <c r="AC386" s="4">
        <v>0</v>
      </c>
      <c r="AD386" s="4"/>
      <c r="AE386" s="54">
        <v>-3.5238265991210942E-3</v>
      </c>
      <c r="AF386" s="54">
        <v>-0.96289336681365967</v>
      </c>
    </row>
    <row r="387" spans="1:32" x14ac:dyDescent="0.2">
      <c r="A387" s="53" t="s">
        <v>2243</v>
      </c>
      <c r="B387" s="53" t="s">
        <v>2519</v>
      </c>
      <c r="C387" s="54" t="s">
        <v>3187</v>
      </c>
      <c r="D387" s="13" t="s">
        <v>1515</v>
      </c>
      <c r="E387" s="4" t="s">
        <v>1517</v>
      </c>
      <c r="F387" s="4" t="s">
        <v>1516</v>
      </c>
      <c r="G387" s="4" t="s">
        <v>365</v>
      </c>
      <c r="H387" s="4">
        <v>260</v>
      </c>
      <c r="I387" s="5">
        <f t="shared" si="36"/>
        <v>203.0220614703951</v>
      </c>
      <c r="J387" s="4">
        <v>3155</v>
      </c>
      <c r="K387" s="5">
        <f t="shared" si="37"/>
        <v>1703.2942412458506</v>
      </c>
      <c r="L387" s="5">
        <v>0</v>
      </c>
      <c r="M387" s="5">
        <v>0</v>
      </c>
      <c r="N387" s="4">
        <v>0</v>
      </c>
      <c r="O387" s="5">
        <f t="shared" si="38"/>
        <v>0</v>
      </c>
      <c r="P387" s="4">
        <v>0</v>
      </c>
      <c r="Q387" s="4">
        <v>0</v>
      </c>
      <c r="R387" s="4">
        <v>0</v>
      </c>
      <c r="S387" s="5">
        <f t="shared" si="39"/>
        <v>0</v>
      </c>
      <c r="T387" s="5">
        <f t="shared" si="40"/>
        <v>8.3897002567586814</v>
      </c>
      <c r="U387" s="5">
        <f t="shared" si="41"/>
        <v>0</v>
      </c>
      <c r="V387" s="4">
        <v>-43</v>
      </c>
      <c r="W387" s="4">
        <v>-4</v>
      </c>
      <c r="X387" s="4">
        <v>-41</v>
      </c>
      <c r="Y387" s="4">
        <v>-6</v>
      </c>
      <c r="Z387" s="10">
        <v>0</v>
      </c>
      <c r="AA387" s="10">
        <v>0</v>
      </c>
      <c r="AB387" s="10">
        <v>0</v>
      </c>
      <c r="AC387" s="10">
        <v>0</v>
      </c>
      <c r="AD387" s="4"/>
      <c r="AE387" s="54">
        <v>-1.9752979278564449E-3</v>
      </c>
      <c r="AF387" s="54">
        <v>-0.86842536926269531</v>
      </c>
    </row>
    <row r="388" spans="1:32" x14ac:dyDescent="0.2">
      <c r="A388" s="53" t="s">
        <v>2243</v>
      </c>
      <c r="B388" s="53" t="s">
        <v>2520</v>
      </c>
      <c r="C388" s="54" t="s">
        <v>3188</v>
      </c>
      <c r="D388" s="13" t="s">
        <v>569</v>
      </c>
      <c r="E388" s="4" t="s">
        <v>571</v>
      </c>
      <c r="F388" s="4" t="s">
        <v>570</v>
      </c>
      <c r="G388" s="4" t="s">
        <v>365</v>
      </c>
      <c r="H388" s="4">
        <v>187</v>
      </c>
      <c r="I388" s="5">
        <f t="shared" si="36"/>
        <v>146.01971344216878</v>
      </c>
      <c r="J388" s="4">
        <v>691</v>
      </c>
      <c r="K388" s="5">
        <f t="shared" si="37"/>
        <v>373.05113175939232</v>
      </c>
      <c r="L388" s="5">
        <v>0</v>
      </c>
      <c r="M388" s="5">
        <v>0</v>
      </c>
      <c r="N388" s="4">
        <v>0</v>
      </c>
      <c r="O388" s="5">
        <f t="shared" si="38"/>
        <v>0</v>
      </c>
      <c r="P388" s="4">
        <v>0</v>
      </c>
      <c r="Q388" s="4">
        <v>0</v>
      </c>
      <c r="R388" s="4">
        <v>0</v>
      </c>
      <c r="S388" s="5">
        <f t="shared" si="39"/>
        <v>0</v>
      </c>
      <c r="T388" s="5">
        <f t="shared" si="40"/>
        <v>2.5547997798745135</v>
      </c>
      <c r="U388" s="5">
        <f t="shared" si="41"/>
        <v>0</v>
      </c>
      <c r="V388" s="4">
        <v>-25</v>
      </c>
      <c r="W388" s="4">
        <v>-28</v>
      </c>
      <c r="X388" s="4">
        <v>48</v>
      </c>
      <c r="Y388" s="4">
        <v>25</v>
      </c>
      <c r="Z388" s="4">
        <v>0</v>
      </c>
      <c r="AA388" s="4">
        <v>0</v>
      </c>
      <c r="AB388" s="4">
        <v>0</v>
      </c>
      <c r="AC388" s="4">
        <v>0</v>
      </c>
      <c r="AD388" s="4"/>
      <c r="AE388" s="54">
        <v>-1.7590522766113279E-3</v>
      </c>
      <c r="AF388" s="54">
        <v>-0.84048247337341309</v>
      </c>
    </row>
    <row r="389" spans="1:32" x14ac:dyDescent="0.2">
      <c r="A389" s="53" t="s">
        <v>2243</v>
      </c>
      <c r="B389" s="53" t="s">
        <v>2515</v>
      </c>
      <c r="C389" s="54" t="s">
        <v>3190</v>
      </c>
      <c r="D389" s="13" t="s">
        <v>1833</v>
      </c>
      <c r="E389" s="4" t="s">
        <v>1835</v>
      </c>
      <c r="F389" s="4" t="s">
        <v>1834</v>
      </c>
      <c r="G389" s="4" t="s">
        <v>365</v>
      </c>
      <c r="H389" s="4">
        <v>1131</v>
      </c>
      <c r="I389" s="5">
        <f t="shared" si="36"/>
        <v>883.14596739621868</v>
      </c>
      <c r="J389" s="4">
        <v>2402</v>
      </c>
      <c r="K389" s="5">
        <f t="shared" si="37"/>
        <v>1296.7710831925619</v>
      </c>
      <c r="L389" s="5">
        <v>0</v>
      </c>
      <c r="M389" s="5">
        <v>0</v>
      </c>
      <c r="N389" s="4">
        <v>0</v>
      </c>
      <c r="O389" s="5">
        <f t="shared" si="38"/>
        <v>0</v>
      </c>
      <c r="P389" s="4">
        <v>0</v>
      </c>
      <c r="Q389" s="4">
        <v>0</v>
      </c>
      <c r="R389" s="4">
        <v>0</v>
      </c>
      <c r="S389" s="5">
        <f t="shared" si="39"/>
        <v>0</v>
      </c>
      <c r="T389" s="5">
        <f t="shared" si="40"/>
        <v>1.4683541917944043</v>
      </c>
      <c r="U389" s="5">
        <f t="shared" si="41"/>
        <v>0</v>
      </c>
      <c r="V389" s="4">
        <v>-28</v>
      </c>
      <c r="W389" s="4">
        <v>32</v>
      </c>
      <c r="X389" s="4">
        <v>-28</v>
      </c>
      <c r="Y389" s="4">
        <v>1</v>
      </c>
      <c r="Z389" s="4">
        <v>0</v>
      </c>
      <c r="AA389" s="4">
        <v>0</v>
      </c>
      <c r="AB389" s="4">
        <v>0</v>
      </c>
      <c r="AC389" s="4">
        <v>0</v>
      </c>
      <c r="AD389" s="4"/>
      <c r="AE389" s="54">
        <v>-3.338098526000977E-3</v>
      </c>
      <c r="AF389" s="54">
        <v>-0.95750117301940918</v>
      </c>
    </row>
    <row r="390" spans="1:32" x14ac:dyDescent="0.2">
      <c r="A390" s="53" t="s">
        <v>2243</v>
      </c>
      <c r="B390" s="53" t="s">
        <v>2516</v>
      </c>
      <c r="C390" s="54" t="s">
        <v>3191</v>
      </c>
      <c r="D390" s="13" t="s">
        <v>1512</v>
      </c>
      <c r="E390" s="4" t="s">
        <v>1514</v>
      </c>
      <c r="F390" s="4" t="s">
        <v>1513</v>
      </c>
      <c r="G390" s="4" t="s">
        <v>365</v>
      </c>
      <c r="H390" s="4">
        <v>1425</v>
      </c>
      <c r="I390" s="5">
        <f t="shared" si="36"/>
        <v>1112.7170676742808</v>
      </c>
      <c r="J390" s="4">
        <v>1406</v>
      </c>
      <c r="K390" s="5">
        <f t="shared" si="37"/>
        <v>759.05917692287346</v>
      </c>
      <c r="L390" s="5">
        <v>0</v>
      </c>
      <c r="M390" s="5">
        <v>0</v>
      </c>
      <c r="N390" s="4">
        <v>0</v>
      </c>
      <c r="O390" s="5">
        <f t="shared" si="38"/>
        <v>0</v>
      </c>
      <c r="P390" s="4">
        <v>0</v>
      </c>
      <c r="Q390" s="4">
        <v>0</v>
      </c>
      <c r="R390" s="4">
        <v>0</v>
      </c>
      <c r="S390" s="5">
        <f t="shared" si="39"/>
        <v>0</v>
      </c>
      <c r="T390" s="5">
        <f t="shared" si="40"/>
        <v>0.68216728131024629</v>
      </c>
      <c r="U390" s="5">
        <f t="shared" si="41"/>
        <v>0</v>
      </c>
      <c r="V390" s="4">
        <v>3</v>
      </c>
      <c r="W390" s="4">
        <v>-31</v>
      </c>
      <c r="X390" s="4">
        <v>3</v>
      </c>
      <c r="Y390" s="4">
        <v>-10</v>
      </c>
      <c r="Z390" s="4">
        <v>0</v>
      </c>
      <c r="AA390" s="4">
        <v>0</v>
      </c>
      <c r="AB390" s="4">
        <v>0</v>
      </c>
      <c r="AC390" s="4">
        <v>0</v>
      </c>
      <c r="AD390" s="4"/>
      <c r="AE390" s="54">
        <v>-3.0755996704101562E-5</v>
      </c>
      <c r="AF390" s="54">
        <v>-0.1034524366259575</v>
      </c>
    </row>
    <row r="391" spans="1:32" x14ac:dyDescent="0.2">
      <c r="A391" s="53" t="s">
        <v>2243</v>
      </c>
      <c r="B391" s="53" t="s">
        <v>2513</v>
      </c>
      <c r="C391" s="54" t="s">
        <v>3193</v>
      </c>
      <c r="D391" s="13" t="s">
        <v>1076</v>
      </c>
      <c r="E391" s="4" t="s">
        <v>1078</v>
      </c>
      <c r="F391" s="4" t="s">
        <v>1077</v>
      </c>
      <c r="G391" s="4" t="s">
        <v>1242</v>
      </c>
      <c r="H391" s="4">
        <v>903</v>
      </c>
      <c r="I391" s="5">
        <f t="shared" si="36"/>
        <v>705.11123656833377</v>
      </c>
      <c r="J391" s="4">
        <v>1205</v>
      </c>
      <c r="K391" s="5">
        <f t="shared" si="37"/>
        <v>650.54502716362913</v>
      </c>
      <c r="L391" s="5">
        <v>0</v>
      </c>
      <c r="M391" s="5">
        <v>0</v>
      </c>
      <c r="N391" s="4">
        <v>0</v>
      </c>
      <c r="O391" s="5">
        <f t="shared" si="38"/>
        <v>0</v>
      </c>
      <c r="P391" s="4">
        <v>0</v>
      </c>
      <c r="Q391" s="4">
        <v>0</v>
      </c>
      <c r="R391" s="4">
        <v>0</v>
      </c>
      <c r="S391" s="5">
        <f t="shared" si="39"/>
        <v>0</v>
      </c>
      <c r="T391" s="5">
        <f t="shared" si="40"/>
        <v>0.92261333166342685</v>
      </c>
      <c r="U391" s="5">
        <f t="shared" si="41"/>
        <v>0</v>
      </c>
      <c r="V391" s="4">
        <v>-27</v>
      </c>
      <c r="W391" s="4">
        <v>-50</v>
      </c>
      <c r="X391" s="4">
        <v>16</v>
      </c>
      <c r="Y391" s="4">
        <v>-33</v>
      </c>
      <c r="Z391" s="4">
        <v>0</v>
      </c>
      <c r="AA391" s="4">
        <v>0</v>
      </c>
      <c r="AB391" s="4">
        <v>0</v>
      </c>
      <c r="AC391" s="4">
        <v>0</v>
      </c>
      <c r="AD391" s="4"/>
      <c r="AE391" s="54">
        <v>-2.4094343185424801E-2</v>
      </c>
      <c r="AF391" s="54">
        <v>-0.99949449300765991</v>
      </c>
    </row>
    <row r="392" spans="1:32" x14ac:dyDescent="0.2">
      <c r="A392" s="53" t="s">
        <v>2243</v>
      </c>
      <c r="B392" s="53" t="s">
        <v>2514</v>
      </c>
      <c r="C392" s="54" t="s">
        <v>3194</v>
      </c>
      <c r="D392" s="13" t="s">
        <v>1292</v>
      </c>
      <c r="E392" s="4" t="s">
        <v>1294</v>
      </c>
      <c r="F392" s="4" t="s">
        <v>1293</v>
      </c>
      <c r="G392" s="4" t="s">
        <v>365</v>
      </c>
      <c r="H392" s="4">
        <v>795</v>
      </c>
      <c r="I392" s="5">
        <f t="shared" si="36"/>
        <v>620.77899564986194</v>
      </c>
      <c r="J392" s="4">
        <v>1500</v>
      </c>
      <c r="K392" s="5">
        <f t="shared" si="37"/>
        <v>809.80708775555479</v>
      </c>
      <c r="L392" s="5">
        <v>0</v>
      </c>
      <c r="M392" s="5">
        <v>0</v>
      </c>
      <c r="N392" s="4">
        <v>0</v>
      </c>
      <c r="O392" s="5">
        <f t="shared" si="38"/>
        <v>0</v>
      </c>
      <c r="P392" s="4">
        <v>0</v>
      </c>
      <c r="Q392" s="4">
        <v>0</v>
      </c>
      <c r="R392" s="4">
        <v>0</v>
      </c>
      <c r="S392" s="5">
        <f t="shared" si="39"/>
        <v>0</v>
      </c>
      <c r="T392" s="5">
        <f t="shared" si="40"/>
        <v>1.3045014303485074</v>
      </c>
      <c r="U392" s="5">
        <f t="shared" si="41"/>
        <v>0</v>
      </c>
      <c r="V392" s="4">
        <v>-1</v>
      </c>
      <c r="W392" s="4">
        <v>-48</v>
      </c>
      <c r="X392" s="4">
        <v>-8</v>
      </c>
      <c r="Y392" s="4">
        <v>23</v>
      </c>
      <c r="Z392" s="4">
        <v>0</v>
      </c>
      <c r="AA392" s="4">
        <v>0</v>
      </c>
      <c r="AB392" s="4">
        <v>0</v>
      </c>
      <c r="AC392" s="4">
        <v>0</v>
      </c>
      <c r="AD392" s="4"/>
      <c r="AE392" s="54">
        <v>1.2200832366943359E-2</v>
      </c>
      <c r="AF392" s="54">
        <v>0.99884039163589478</v>
      </c>
    </row>
    <row r="393" spans="1:32" x14ac:dyDescent="0.2">
      <c r="A393" s="53" t="s">
        <v>2243</v>
      </c>
      <c r="B393" s="53" t="s">
        <v>2510</v>
      </c>
      <c r="C393" s="54" t="s">
        <v>3195</v>
      </c>
      <c r="D393" s="13" t="s">
        <v>2013</v>
      </c>
      <c r="E393" s="4" t="s">
        <v>2015</v>
      </c>
      <c r="F393" s="4" t="s">
        <v>2014</v>
      </c>
      <c r="G393" s="4" t="s">
        <v>164</v>
      </c>
      <c r="H393" s="4">
        <v>1799</v>
      </c>
      <c r="I393" s="5">
        <f t="shared" si="36"/>
        <v>1404.7564945586182</v>
      </c>
      <c r="J393" s="4">
        <v>3179</v>
      </c>
      <c r="K393" s="5">
        <f t="shared" si="37"/>
        <v>1716.2511546499393</v>
      </c>
      <c r="L393" s="5">
        <v>0</v>
      </c>
      <c r="M393" s="5">
        <v>0</v>
      </c>
      <c r="N393" s="4">
        <v>1</v>
      </c>
      <c r="O393" s="5">
        <f t="shared" si="38"/>
        <v>0.33333333333333331</v>
      </c>
      <c r="P393" s="4">
        <v>0</v>
      </c>
      <c r="Q393" s="4">
        <v>0</v>
      </c>
      <c r="R393" s="4">
        <v>0</v>
      </c>
      <c r="S393" s="5">
        <f t="shared" si="39"/>
        <v>0</v>
      </c>
      <c r="T393" s="5">
        <f t="shared" si="40"/>
        <v>1.2217428154259535</v>
      </c>
      <c r="U393" s="5">
        <f t="shared" si="41"/>
        <v>0</v>
      </c>
      <c r="V393" s="4">
        <v>39</v>
      </c>
      <c r="W393" s="4">
        <v>34</v>
      </c>
      <c r="X393" s="4">
        <v>2</v>
      </c>
      <c r="Y393" s="4">
        <v>-2</v>
      </c>
      <c r="Z393" s="4">
        <v>0</v>
      </c>
      <c r="AA393" s="4">
        <v>0</v>
      </c>
      <c r="AB393" s="4">
        <v>0</v>
      </c>
      <c r="AC393" s="4">
        <v>0</v>
      </c>
      <c r="AD393" s="4"/>
      <c r="AE393" s="54">
        <v>3.6825656890869141E-2</v>
      </c>
      <c r="AF393" s="54">
        <v>0.99978959560394287</v>
      </c>
    </row>
    <row r="394" spans="1:32" x14ac:dyDescent="0.2">
      <c r="A394" s="53" t="s">
        <v>2243</v>
      </c>
      <c r="B394" s="53" t="s">
        <v>2509</v>
      </c>
      <c r="C394" s="54" t="s">
        <v>3196</v>
      </c>
      <c r="D394" s="13" t="s">
        <v>1073</v>
      </c>
      <c r="E394" s="4" t="s">
        <v>1075</v>
      </c>
      <c r="F394" s="4" t="s">
        <v>1074</v>
      </c>
      <c r="G394" s="22" t="s">
        <v>276</v>
      </c>
      <c r="H394" s="4">
        <v>2618</v>
      </c>
      <c r="I394" s="5">
        <f t="shared" si="36"/>
        <v>2044.2759881903628</v>
      </c>
      <c r="J394" s="4">
        <v>3405</v>
      </c>
      <c r="K394" s="5">
        <f t="shared" si="37"/>
        <v>1838.2620892051095</v>
      </c>
      <c r="L394" s="5">
        <v>0</v>
      </c>
      <c r="M394" s="5">
        <v>0</v>
      </c>
      <c r="N394" s="4">
        <v>0</v>
      </c>
      <c r="O394" s="5">
        <f t="shared" si="38"/>
        <v>0</v>
      </c>
      <c r="P394" s="4">
        <v>0</v>
      </c>
      <c r="Q394" s="4">
        <v>0</v>
      </c>
      <c r="R394" s="4">
        <v>0</v>
      </c>
      <c r="S394" s="5">
        <f t="shared" si="39"/>
        <v>0</v>
      </c>
      <c r="T394" s="5">
        <f t="shared" si="40"/>
        <v>0.89922402837220561</v>
      </c>
      <c r="U394" s="5">
        <f t="shared" si="41"/>
        <v>0</v>
      </c>
      <c r="V394" s="4">
        <v>-22</v>
      </c>
      <c r="W394" s="4">
        <v>47</v>
      </c>
      <c r="X394" s="4">
        <v>6</v>
      </c>
      <c r="Y394" s="4">
        <v>47</v>
      </c>
      <c r="Z394" s="4">
        <v>0</v>
      </c>
      <c r="AA394" s="4">
        <v>0</v>
      </c>
      <c r="AB394" s="4">
        <v>0</v>
      </c>
      <c r="AC394" s="4">
        <v>0</v>
      </c>
      <c r="AD394" s="4"/>
      <c r="AE394" s="54">
        <v>6.4117908477783203E-3</v>
      </c>
      <c r="AF394" s="54">
        <v>0.99457097053527832</v>
      </c>
    </row>
    <row r="395" spans="1:32" x14ac:dyDescent="0.2">
      <c r="A395" s="53" t="s">
        <v>2243</v>
      </c>
      <c r="B395" s="53" t="s">
        <v>2508</v>
      </c>
      <c r="C395" s="54" t="s">
        <v>3197</v>
      </c>
      <c r="D395" s="13" t="s">
        <v>1509</v>
      </c>
      <c r="E395" s="4" t="s">
        <v>1511</v>
      </c>
      <c r="F395" s="4" t="s">
        <v>1510</v>
      </c>
      <c r="G395" s="4" t="s">
        <v>276</v>
      </c>
      <c r="H395" s="4">
        <v>3858</v>
      </c>
      <c r="I395" s="5">
        <f t="shared" si="36"/>
        <v>3012.5350505876318</v>
      </c>
      <c r="J395" s="4">
        <v>2866</v>
      </c>
      <c r="K395" s="5">
        <f t="shared" si="37"/>
        <v>1547.2714090049469</v>
      </c>
      <c r="L395" s="5">
        <v>0</v>
      </c>
      <c r="M395" s="5">
        <v>0</v>
      </c>
      <c r="N395" s="4">
        <v>0</v>
      </c>
      <c r="O395" s="5">
        <f t="shared" si="38"/>
        <v>0</v>
      </c>
      <c r="P395" s="4">
        <v>0</v>
      </c>
      <c r="Q395" s="4">
        <v>0</v>
      </c>
      <c r="R395" s="4">
        <v>0</v>
      </c>
      <c r="S395" s="5">
        <f t="shared" si="39"/>
        <v>0</v>
      </c>
      <c r="T395" s="5">
        <f t="shared" si="40"/>
        <v>0.51361108933923694</v>
      </c>
      <c r="U395" s="5">
        <f t="shared" si="41"/>
        <v>0</v>
      </c>
      <c r="V395" s="4">
        <v>46</v>
      </c>
      <c r="W395" s="4">
        <v>-20</v>
      </c>
      <c r="X395" s="4">
        <v>-18</v>
      </c>
      <c r="Y395" s="4">
        <v>10</v>
      </c>
      <c r="Z395" s="4">
        <v>0</v>
      </c>
      <c r="AA395" s="4">
        <v>0</v>
      </c>
      <c r="AB395" s="4">
        <v>0</v>
      </c>
      <c r="AC395" s="4">
        <v>0</v>
      </c>
      <c r="AD395" s="4"/>
      <c r="AE395" s="54">
        <v>4.9996376037597656E-4</v>
      </c>
      <c r="AF395" s="54">
        <v>0.49464499950408941</v>
      </c>
    </row>
    <row r="396" spans="1:32" x14ac:dyDescent="0.2">
      <c r="A396" s="53" t="s">
        <v>2243</v>
      </c>
      <c r="B396" s="53" t="s">
        <v>2507</v>
      </c>
      <c r="C396" s="54" t="s">
        <v>3198</v>
      </c>
      <c r="D396" s="13" t="s">
        <v>1506</v>
      </c>
      <c r="E396" s="4" t="s">
        <v>1508</v>
      </c>
      <c r="F396" s="4" t="s">
        <v>1507</v>
      </c>
      <c r="G396" s="4" t="s">
        <v>276</v>
      </c>
      <c r="H396" s="4">
        <v>403</v>
      </c>
      <c r="I396" s="5">
        <f t="shared" si="36"/>
        <v>314.68419527911243</v>
      </c>
      <c r="J396" s="4">
        <v>4428</v>
      </c>
      <c r="K396" s="5">
        <f t="shared" si="37"/>
        <v>2390.5505230543981</v>
      </c>
      <c r="L396" s="5">
        <v>0</v>
      </c>
      <c r="M396" s="5">
        <v>0</v>
      </c>
      <c r="N396" s="4">
        <v>0</v>
      </c>
      <c r="O396" s="5">
        <f t="shared" si="38"/>
        <v>0</v>
      </c>
      <c r="P396" s="4">
        <v>0</v>
      </c>
      <c r="Q396" s="4">
        <v>0</v>
      </c>
      <c r="R396" s="4">
        <v>0</v>
      </c>
      <c r="S396" s="5">
        <f t="shared" si="39"/>
        <v>0</v>
      </c>
      <c r="T396" s="5">
        <f t="shared" si="40"/>
        <v>7.5966653518587881</v>
      </c>
      <c r="U396" s="5">
        <f t="shared" si="41"/>
        <v>0</v>
      </c>
      <c r="V396" s="4">
        <v>-1</v>
      </c>
      <c r="W396" s="4">
        <v>-15</v>
      </c>
      <c r="X396" s="4">
        <v>-1</v>
      </c>
      <c r="Y396" s="4">
        <v>-13</v>
      </c>
      <c r="Z396" s="4">
        <v>0</v>
      </c>
      <c r="AA396" s="4">
        <v>0</v>
      </c>
      <c r="AB396" s="4">
        <v>0</v>
      </c>
      <c r="AC396" s="4">
        <v>0</v>
      </c>
      <c r="AD396" s="4"/>
      <c r="AE396" s="54">
        <v>-2.6233196258544922E-3</v>
      </c>
      <c r="AF396" s="54">
        <v>-0.92390108108520508</v>
      </c>
    </row>
    <row r="397" spans="1:32" x14ac:dyDescent="0.2">
      <c r="A397" s="53" t="s">
        <v>2243</v>
      </c>
      <c r="B397" s="53" t="s">
        <v>2505</v>
      </c>
      <c r="C397" s="54" t="s">
        <v>3199</v>
      </c>
      <c r="D397" s="13" t="s">
        <v>2010</v>
      </c>
      <c r="E397" s="4" t="s">
        <v>2012</v>
      </c>
      <c r="F397" s="4" t="s">
        <v>2011</v>
      </c>
      <c r="G397" s="22" t="s">
        <v>397</v>
      </c>
      <c r="H397" s="4">
        <v>1008</v>
      </c>
      <c r="I397" s="5">
        <f t="shared" si="36"/>
        <v>787.10091523907022</v>
      </c>
      <c r="J397" s="4">
        <v>624</v>
      </c>
      <c r="K397" s="5">
        <f t="shared" si="37"/>
        <v>336.87974850631082</v>
      </c>
      <c r="L397" s="5">
        <v>0</v>
      </c>
      <c r="M397" s="5">
        <v>0</v>
      </c>
      <c r="N397" s="4">
        <v>0</v>
      </c>
      <c r="O397" s="5">
        <f t="shared" si="38"/>
        <v>0</v>
      </c>
      <c r="P397" s="4">
        <v>0</v>
      </c>
      <c r="Q397" s="4">
        <v>0</v>
      </c>
      <c r="R397" s="4">
        <v>0</v>
      </c>
      <c r="S397" s="5">
        <f t="shared" si="39"/>
        <v>0</v>
      </c>
      <c r="T397" s="5">
        <f t="shared" si="40"/>
        <v>0.42800070738577223</v>
      </c>
      <c r="U397" s="5">
        <f t="shared" si="41"/>
        <v>0</v>
      </c>
      <c r="V397" s="4">
        <v>-2</v>
      </c>
      <c r="W397" s="4">
        <v>-33</v>
      </c>
      <c r="X397" s="4">
        <v>-2</v>
      </c>
      <c r="Y397" s="4">
        <v>-27</v>
      </c>
      <c r="Z397" s="4">
        <v>0</v>
      </c>
      <c r="AA397" s="4">
        <v>0</v>
      </c>
      <c r="AB397" s="4">
        <v>0</v>
      </c>
      <c r="AC397" s="4">
        <v>0</v>
      </c>
      <c r="AD397" s="4"/>
      <c r="AE397" s="54">
        <v>-1.24359130859375E-3</v>
      </c>
      <c r="AF397" s="54">
        <v>-0.74315381050109863</v>
      </c>
    </row>
    <row r="398" spans="1:32" x14ac:dyDescent="0.2">
      <c r="A398" s="53" t="s">
        <v>2243</v>
      </c>
      <c r="B398" s="53" t="s">
        <v>2504</v>
      </c>
      <c r="C398" s="54" t="s">
        <v>3200</v>
      </c>
      <c r="D398" s="13" t="s">
        <v>2007</v>
      </c>
      <c r="E398" s="4" t="s">
        <v>2009</v>
      </c>
      <c r="F398" s="4" t="s">
        <v>2008</v>
      </c>
      <c r="G398" s="4" t="s">
        <v>27</v>
      </c>
      <c r="H398" s="4">
        <v>3053</v>
      </c>
      <c r="I398" s="5">
        <f t="shared" si="36"/>
        <v>2383.9475141119856</v>
      </c>
      <c r="J398" s="4">
        <v>2045</v>
      </c>
      <c r="K398" s="5">
        <f t="shared" si="37"/>
        <v>1104.0369963067399</v>
      </c>
      <c r="L398" s="5">
        <v>0</v>
      </c>
      <c r="M398" s="5">
        <v>0</v>
      </c>
      <c r="N398" s="4">
        <v>0</v>
      </c>
      <c r="O398" s="5">
        <f t="shared" si="38"/>
        <v>0</v>
      </c>
      <c r="P398" s="4">
        <v>0</v>
      </c>
      <c r="Q398" s="4">
        <v>0</v>
      </c>
      <c r="R398" s="4">
        <v>0</v>
      </c>
      <c r="S398" s="5">
        <f t="shared" si="39"/>
        <v>0</v>
      </c>
      <c r="T398" s="5">
        <f t="shared" si="40"/>
        <v>0.46311296275245006</v>
      </c>
      <c r="U398" s="5">
        <f t="shared" si="41"/>
        <v>0</v>
      </c>
      <c r="V398" s="4">
        <v>-35</v>
      </c>
      <c r="W398" s="4">
        <v>-1</v>
      </c>
      <c r="X398" s="4">
        <v>15</v>
      </c>
      <c r="Y398" s="4">
        <v>-46</v>
      </c>
      <c r="Z398" s="4">
        <v>0</v>
      </c>
      <c r="AA398" s="4">
        <v>0</v>
      </c>
      <c r="AB398" s="4">
        <v>0</v>
      </c>
      <c r="AC398" s="4">
        <v>0</v>
      </c>
      <c r="AD398" s="4"/>
      <c r="AE398" s="54">
        <v>1.9268989562988279E-3</v>
      </c>
      <c r="AF398" s="54">
        <v>0.86556082963943481</v>
      </c>
    </row>
    <row r="399" spans="1:32" x14ac:dyDescent="0.2">
      <c r="A399" s="53" t="s">
        <v>2243</v>
      </c>
      <c r="B399" s="53" t="s">
        <v>2503</v>
      </c>
      <c r="C399" s="54" t="s">
        <v>3201</v>
      </c>
      <c r="D399" s="13" t="s">
        <v>1830</v>
      </c>
      <c r="E399" s="4" t="s">
        <v>1832</v>
      </c>
      <c r="F399" s="4" t="s">
        <v>1831</v>
      </c>
      <c r="G399" s="4" t="s">
        <v>27</v>
      </c>
      <c r="H399" s="4">
        <v>335</v>
      </c>
      <c r="I399" s="5">
        <f t="shared" si="36"/>
        <v>261.58611766377828</v>
      </c>
      <c r="J399" s="4">
        <v>578</v>
      </c>
      <c r="K399" s="5">
        <f t="shared" si="37"/>
        <v>312.04566448180714</v>
      </c>
      <c r="L399" s="5">
        <v>0</v>
      </c>
      <c r="M399" s="5">
        <v>0</v>
      </c>
      <c r="N399" s="4">
        <v>0</v>
      </c>
      <c r="O399" s="5">
        <f t="shared" si="38"/>
        <v>0</v>
      </c>
      <c r="P399" s="4">
        <v>0</v>
      </c>
      <c r="Q399" s="4">
        <v>0</v>
      </c>
      <c r="R399" s="4">
        <v>0</v>
      </c>
      <c r="S399" s="5">
        <f t="shared" si="39"/>
        <v>0</v>
      </c>
      <c r="T399" s="5">
        <f t="shared" si="40"/>
        <v>1.1928984124566024</v>
      </c>
      <c r="U399" s="5">
        <f t="shared" si="41"/>
        <v>0</v>
      </c>
      <c r="V399" s="4">
        <v>-48</v>
      </c>
      <c r="W399" s="4">
        <v>-33</v>
      </c>
      <c r="X399" s="4">
        <v>1</v>
      </c>
      <c r="Y399" s="4">
        <v>-5</v>
      </c>
      <c r="Z399" s="4">
        <v>0</v>
      </c>
      <c r="AA399" s="4">
        <v>0</v>
      </c>
      <c r="AB399" s="4">
        <v>0</v>
      </c>
      <c r="AC399" s="4">
        <v>0</v>
      </c>
      <c r="AD399" s="4"/>
      <c r="AE399" s="54">
        <v>3.0472517013549801E-2</v>
      </c>
      <c r="AF399" s="54">
        <v>0.99971604347229004</v>
      </c>
    </row>
    <row r="400" spans="1:32" x14ac:dyDescent="0.2">
      <c r="A400" s="53" t="s">
        <v>2243</v>
      </c>
      <c r="B400" s="53" t="s">
        <v>2511</v>
      </c>
      <c r="C400" s="54" t="s">
        <v>3202</v>
      </c>
      <c r="D400" s="13" t="s">
        <v>1640</v>
      </c>
      <c r="E400" s="4" t="s">
        <v>1642</v>
      </c>
      <c r="F400" s="4" t="s">
        <v>1641</v>
      </c>
      <c r="G400" s="4" t="s">
        <v>365</v>
      </c>
      <c r="H400" s="4">
        <v>369</v>
      </c>
      <c r="I400" s="5">
        <f t="shared" si="36"/>
        <v>288.13515647144538</v>
      </c>
      <c r="J400" s="4">
        <v>1876</v>
      </c>
      <c r="K400" s="5">
        <f t="shared" si="37"/>
        <v>1012.7987310862806</v>
      </c>
      <c r="L400" s="5">
        <v>0</v>
      </c>
      <c r="M400" s="5">
        <v>0</v>
      </c>
      <c r="N400" s="4">
        <v>0</v>
      </c>
      <c r="O400" s="5">
        <f t="shared" si="38"/>
        <v>0</v>
      </c>
      <c r="P400" s="4">
        <v>0</v>
      </c>
      <c r="Q400" s="4">
        <v>0</v>
      </c>
      <c r="R400" s="4">
        <v>0</v>
      </c>
      <c r="S400" s="5">
        <f t="shared" si="39"/>
        <v>0</v>
      </c>
      <c r="T400" s="5">
        <f t="shared" si="40"/>
        <v>3.5150126887992248</v>
      </c>
      <c r="U400" s="5">
        <f t="shared" si="41"/>
        <v>0</v>
      </c>
      <c r="V400" s="4">
        <v>32</v>
      </c>
      <c r="W400" s="4">
        <v>-9</v>
      </c>
      <c r="X400" s="4">
        <v>32</v>
      </c>
      <c r="Y400" s="4">
        <v>8</v>
      </c>
      <c r="Z400" s="4">
        <v>0</v>
      </c>
      <c r="AA400" s="4">
        <v>0</v>
      </c>
      <c r="AB400" s="4">
        <v>0</v>
      </c>
      <c r="AC400" s="4">
        <v>0</v>
      </c>
      <c r="AD400" s="4"/>
      <c r="AE400" s="54">
        <v>-5.8102607727050781E-4</v>
      </c>
      <c r="AF400" s="54">
        <v>-0.52033525705337524</v>
      </c>
    </row>
    <row r="401" spans="1:32" x14ac:dyDescent="0.2">
      <c r="A401" s="53" t="s">
        <v>2243</v>
      </c>
      <c r="B401" s="53" t="s">
        <v>2506</v>
      </c>
      <c r="C401" s="54" t="s">
        <v>3203</v>
      </c>
      <c r="D401" s="13" t="s">
        <v>1637</v>
      </c>
      <c r="E401" s="4" t="s">
        <v>1639</v>
      </c>
      <c r="F401" s="4" t="s">
        <v>1638</v>
      </c>
      <c r="G401" s="22" t="s">
        <v>1219</v>
      </c>
      <c r="H401" s="4">
        <v>470</v>
      </c>
      <c r="I401" s="5">
        <f t="shared" si="36"/>
        <v>367.00141881186806</v>
      </c>
      <c r="J401" s="4">
        <v>1976</v>
      </c>
      <c r="K401" s="5">
        <f t="shared" si="37"/>
        <v>1066.7858702699843</v>
      </c>
      <c r="L401" s="5">
        <v>0</v>
      </c>
      <c r="M401" s="5">
        <v>0</v>
      </c>
      <c r="N401" s="4">
        <v>0</v>
      </c>
      <c r="O401" s="5">
        <f t="shared" si="38"/>
        <v>0</v>
      </c>
      <c r="P401" s="4">
        <v>0</v>
      </c>
      <c r="Q401" s="4">
        <v>0</v>
      </c>
      <c r="R401" s="4">
        <v>0</v>
      </c>
      <c r="S401" s="5">
        <f t="shared" si="39"/>
        <v>0</v>
      </c>
      <c r="T401" s="5">
        <f t="shared" si="40"/>
        <v>2.9067622510114575</v>
      </c>
      <c r="U401" s="5">
        <f t="shared" si="41"/>
        <v>0</v>
      </c>
      <c r="V401" s="4">
        <v>-2</v>
      </c>
      <c r="W401" s="4">
        <v>21</v>
      </c>
      <c r="X401" s="4">
        <v>-2</v>
      </c>
      <c r="Y401" s="4">
        <v>-46</v>
      </c>
      <c r="Z401" s="4">
        <v>0</v>
      </c>
      <c r="AA401" s="4">
        <v>0</v>
      </c>
      <c r="AB401" s="4">
        <v>0</v>
      </c>
      <c r="AC401" s="4">
        <v>0</v>
      </c>
      <c r="AD401" s="4"/>
      <c r="AE401" s="54">
        <v>-3.104925155639648E-3</v>
      </c>
      <c r="AF401" s="54">
        <v>-0.94794857501983643</v>
      </c>
    </row>
    <row r="402" spans="1:32" x14ac:dyDescent="0.2">
      <c r="A402" s="53" t="s">
        <v>2243</v>
      </c>
      <c r="B402" s="53" t="s">
        <v>2500</v>
      </c>
      <c r="C402" s="54" t="s">
        <v>3204</v>
      </c>
      <c r="D402" s="13" t="s">
        <v>1067</v>
      </c>
      <c r="E402" s="4" t="s">
        <v>1069</v>
      </c>
      <c r="F402" s="4" t="s">
        <v>1068</v>
      </c>
      <c r="G402" s="22" t="s">
        <v>397</v>
      </c>
      <c r="H402" s="4">
        <v>809</v>
      </c>
      <c r="I402" s="5">
        <f t="shared" si="36"/>
        <v>631.71095280596001</v>
      </c>
      <c r="J402" s="4">
        <v>1390</v>
      </c>
      <c r="K402" s="5">
        <f t="shared" si="37"/>
        <v>750.42123465348084</v>
      </c>
      <c r="L402" s="5">
        <v>0</v>
      </c>
      <c r="M402" s="5">
        <v>0</v>
      </c>
      <c r="N402" s="4">
        <v>0</v>
      </c>
      <c r="O402" s="5">
        <f t="shared" si="38"/>
        <v>0</v>
      </c>
      <c r="P402" s="4">
        <v>0</v>
      </c>
      <c r="Q402" s="4">
        <v>0</v>
      </c>
      <c r="R402" s="4">
        <v>0</v>
      </c>
      <c r="S402" s="5">
        <f t="shared" si="39"/>
        <v>0</v>
      </c>
      <c r="T402" s="5">
        <f t="shared" si="40"/>
        <v>1.1879186696387463</v>
      </c>
      <c r="U402" s="5">
        <f t="shared" si="41"/>
        <v>0</v>
      </c>
      <c r="V402" s="4">
        <v>11</v>
      </c>
      <c r="W402" s="4">
        <v>-50</v>
      </c>
      <c r="X402" s="4">
        <v>11</v>
      </c>
      <c r="Y402" s="4">
        <v>27</v>
      </c>
      <c r="Z402" s="4">
        <v>0</v>
      </c>
      <c r="AA402" s="4">
        <v>0</v>
      </c>
      <c r="AB402" s="4">
        <v>0</v>
      </c>
      <c r="AC402" s="4">
        <v>0</v>
      </c>
      <c r="AD402" s="4"/>
      <c r="AE402" s="54">
        <v>1.6272068023681641E-3</v>
      </c>
      <c r="AF402" s="54">
        <v>0.82270622253417969</v>
      </c>
    </row>
    <row r="403" spans="1:32" x14ac:dyDescent="0.2">
      <c r="A403" s="53" t="s">
        <v>2243</v>
      </c>
      <c r="B403" s="53" t="s">
        <v>2499</v>
      </c>
      <c r="C403" s="54" t="s">
        <v>3207</v>
      </c>
      <c r="D403" s="13" t="s">
        <v>2004</v>
      </c>
      <c r="E403" s="4" t="s">
        <v>2006</v>
      </c>
      <c r="F403" s="4" t="s">
        <v>2005</v>
      </c>
      <c r="G403" s="4" t="s">
        <v>27</v>
      </c>
      <c r="H403" s="4">
        <v>275</v>
      </c>
      <c r="I403" s="5">
        <f t="shared" si="36"/>
        <v>214.73487270907174</v>
      </c>
      <c r="J403" s="4">
        <v>1727</v>
      </c>
      <c r="K403" s="5">
        <f t="shared" si="37"/>
        <v>932.35789370256214</v>
      </c>
      <c r="L403" s="5">
        <v>0</v>
      </c>
      <c r="M403" s="5">
        <v>0</v>
      </c>
      <c r="N403" s="4">
        <v>0</v>
      </c>
      <c r="O403" s="5">
        <f t="shared" si="38"/>
        <v>0</v>
      </c>
      <c r="P403" s="4">
        <v>0</v>
      </c>
      <c r="Q403" s="4">
        <v>0</v>
      </c>
      <c r="R403" s="4">
        <v>0</v>
      </c>
      <c r="S403" s="5">
        <f t="shared" si="39"/>
        <v>0</v>
      </c>
      <c r="T403" s="5">
        <f t="shared" si="40"/>
        <v>4.3419025607719721</v>
      </c>
      <c r="U403" s="5">
        <f t="shared" si="41"/>
        <v>0</v>
      </c>
      <c r="V403" s="4">
        <v>-15</v>
      </c>
      <c r="W403" s="4">
        <v>25</v>
      </c>
      <c r="X403" s="4">
        <v>6</v>
      </c>
      <c r="Y403" s="4">
        <v>25</v>
      </c>
      <c r="Z403" s="4">
        <v>0</v>
      </c>
      <c r="AA403" s="4">
        <v>0</v>
      </c>
      <c r="AB403" s="4">
        <v>0</v>
      </c>
      <c r="AC403" s="4">
        <v>0</v>
      </c>
      <c r="AD403" s="4"/>
      <c r="AE403" s="54">
        <v>-2.7263164520263672E-3</v>
      </c>
      <c r="AF403" s="54">
        <v>-0.92880904674530029</v>
      </c>
    </row>
    <row r="404" spans="1:32" x14ac:dyDescent="0.2">
      <c r="A404" s="53" t="s">
        <v>2243</v>
      </c>
      <c r="B404" s="53" t="s">
        <v>2492</v>
      </c>
      <c r="C404" s="54" t="s">
        <v>3208</v>
      </c>
      <c r="D404" s="13" t="s">
        <v>1046</v>
      </c>
      <c r="E404" s="4" t="s">
        <v>1048</v>
      </c>
      <c r="F404" s="4" t="s">
        <v>1047</v>
      </c>
      <c r="G404" s="4" t="s">
        <v>27</v>
      </c>
      <c r="H404" s="4">
        <v>640</v>
      </c>
      <c r="I404" s="5">
        <f t="shared" si="36"/>
        <v>499.74661285020335</v>
      </c>
      <c r="J404" s="4">
        <v>1641</v>
      </c>
      <c r="K404" s="5">
        <f t="shared" si="37"/>
        <v>885.92895400457712</v>
      </c>
      <c r="L404" s="5">
        <v>0</v>
      </c>
      <c r="M404" s="5">
        <v>0</v>
      </c>
      <c r="N404" s="4">
        <v>0</v>
      </c>
      <c r="O404" s="5">
        <f t="shared" si="38"/>
        <v>0</v>
      </c>
      <c r="P404" s="4">
        <v>0</v>
      </c>
      <c r="Q404" s="4">
        <v>0</v>
      </c>
      <c r="R404" s="4">
        <v>0</v>
      </c>
      <c r="S404" s="5">
        <f t="shared" si="39"/>
        <v>0</v>
      </c>
      <c r="T404" s="5">
        <f t="shared" si="40"/>
        <v>1.7727562953390743</v>
      </c>
      <c r="U404" s="5">
        <f t="shared" si="41"/>
        <v>0</v>
      </c>
      <c r="V404" s="4">
        <v>2</v>
      </c>
      <c r="W404" s="4">
        <v>45</v>
      </c>
      <c r="X404" s="4">
        <v>-44</v>
      </c>
      <c r="Y404" s="4">
        <v>25</v>
      </c>
      <c r="Z404" s="4">
        <v>0</v>
      </c>
      <c r="AA404" s="4">
        <v>0</v>
      </c>
      <c r="AB404" s="4">
        <v>0</v>
      </c>
      <c r="AC404" s="4">
        <v>0</v>
      </c>
      <c r="AD404" s="4"/>
      <c r="AE404" s="54">
        <v>1.717567443847656E-3</v>
      </c>
      <c r="AF404" s="54">
        <v>0.83706265687942505</v>
      </c>
    </row>
    <row r="405" spans="1:32" x14ac:dyDescent="0.2">
      <c r="A405" s="53" t="s">
        <v>2243</v>
      </c>
      <c r="B405" s="53" t="s">
        <v>2493</v>
      </c>
      <c r="C405" s="54" t="s">
        <v>3209</v>
      </c>
      <c r="D405" s="13" t="s">
        <v>1049</v>
      </c>
      <c r="E405" s="4" t="s">
        <v>1051</v>
      </c>
      <c r="F405" s="4" t="s">
        <v>1050</v>
      </c>
      <c r="G405" s="4" t="s">
        <v>27</v>
      </c>
      <c r="H405" s="4">
        <v>361</v>
      </c>
      <c r="I405" s="5">
        <f t="shared" si="36"/>
        <v>281.88832381081778</v>
      </c>
      <c r="J405" s="4">
        <v>2280</v>
      </c>
      <c r="K405" s="5">
        <f t="shared" si="37"/>
        <v>1230.9067733884435</v>
      </c>
      <c r="L405" s="5">
        <v>0</v>
      </c>
      <c r="M405" s="5">
        <v>0</v>
      </c>
      <c r="N405" s="4">
        <v>0</v>
      </c>
      <c r="O405" s="5">
        <f t="shared" si="38"/>
        <v>0</v>
      </c>
      <c r="P405" s="4">
        <v>0</v>
      </c>
      <c r="Q405" s="4">
        <v>0</v>
      </c>
      <c r="R405" s="4">
        <v>0</v>
      </c>
      <c r="S405" s="5">
        <f t="shared" si="39"/>
        <v>0</v>
      </c>
      <c r="T405" s="5">
        <f t="shared" si="40"/>
        <v>4.3666468931665845</v>
      </c>
      <c r="U405" s="5">
        <f t="shared" si="41"/>
        <v>0</v>
      </c>
      <c r="V405" s="4">
        <v>-2</v>
      </c>
      <c r="W405" s="4">
        <v>10</v>
      </c>
      <c r="X405" s="4">
        <v>0</v>
      </c>
      <c r="Y405" s="4">
        <v>-13</v>
      </c>
      <c r="Z405" s="4">
        <v>0</v>
      </c>
      <c r="AA405" s="4">
        <v>0</v>
      </c>
      <c r="AB405" s="4">
        <v>0</v>
      </c>
      <c r="AC405" s="4">
        <v>0</v>
      </c>
      <c r="AD405" s="4"/>
      <c r="AE405" s="54">
        <v>-1.1780261993408201E-3</v>
      </c>
      <c r="AF405" s="54">
        <v>-0.72725653648376465</v>
      </c>
    </row>
    <row r="406" spans="1:32" x14ac:dyDescent="0.2">
      <c r="A406" s="53" t="s">
        <v>2243</v>
      </c>
      <c r="B406" s="53" t="s">
        <v>2494</v>
      </c>
      <c r="C406" s="54" t="s">
        <v>3210</v>
      </c>
      <c r="D406" s="13" t="s">
        <v>1052</v>
      </c>
      <c r="E406" s="4" t="s">
        <v>1054</v>
      </c>
      <c r="F406" s="4" t="s">
        <v>1053</v>
      </c>
      <c r="G406" s="4" t="s">
        <v>27</v>
      </c>
      <c r="H406" s="4">
        <v>749</v>
      </c>
      <c r="I406" s="5">
        <f t="shared" si="36"/>
        <v>584.85970785125357</v>
      </c>
      <c r="J406" s="4">
        <v>2443</v>
      </c>
      <c r="K406" s="5">
        <f t="shared" si="37"/>
        <v>1318.9058102578804</v>
      </c>
      <c r="L406" s="5">
        <v>0</v>
      </c>
      <c r="M406" s="5">
        <v>0</v>
      </c>
      <c r="N406" s="4">
        <v>0</v>
      </c>
      <c r="O406" s="5">
        <f t="shared" si="38"/>
        <v>0</v>
      </c>
      <c r="P406" s="4">
        <v>0</v>
      </c>
      <c r="Q406" s="4">
        <v>0</v>
      </c>
      <c r="R406" s="4">
        <v>0</v>
      </c>
      <c r="S406" s="5">
        <f t="shared" si="39"/>
        <v>0</v>
      </c>
      <c r="T406" s="5">
        <f t="shared" si="40"/>
        <v>2.2550806502015277</v>
      </c>
      <c r="U406" s="5">
        <f t="shared" si="41"/>
        <v>0</v>
      </c>
      <c r="V406" s="4">
        <v>-19</v>
      </c>
      <c r="W406" s="4">
        <v>3</v>
      </c>
      <c r="X406" s="4">
        <v>46</v>
      </c>
      <c r="Y406" s="4">
        <v>3</v>
      </c>
      <c r="Z406" s="4">
        <v>0</v>
      </c>
      <c r="AA406" s="4">
        <v>0</v>
      </c>
      <c r="AB406" s="4">
        <v>0</v>
      </c>
      <c r="AC406" s="4">
        <v>0</v>
      </c>
      <c r="AD406" s="4"/>
      <c r="AE406" s="54">
        <v>1.8990039825439451E-3</v>
      </c>
      <c r="AF406" s="54">
        <v>0.86263847351074219</v>
      </c>
    </row>
    <row r="407" spans="1:32" x14ac:dyDescent="0.2">
      <c r="A407" s="53" t="s">
        <v>2243</v>
      </c>
      <c r="B407" s="53" t="s">
        <v>2495</v>
      </c>
      <c r="C407" s="54" t="s">
        <v>3211</v>
      </c>
      <c r="D407" s="13" t="s">
        <v>1055</v>
      </c>
      <c r="E407" s="4" t="s">
        <v>1057</v>
      </c>
      <c r="F407" s="4" t="s">
        <v>1056</v>
      </c>
      <c r="G407" s="4" t="s">
        <v>27</v>
      </c>
      <c r="H407" s="4">
        <v>916</v>
      </c>
      <c r="I407" s="5">
        <f t="shared" si="36"/>
        <v>715.26233964185337</v>
      </c>
      <c r="J407" s="4">
        <v>721</v>
      </c>
      <c r="K407" s="5">
        <f t="shared" si="37"/>
        <v>389.24727351450338</v>
      </c>
      <c r="L407" s="5">
        <v>0</v>
      </c>
      <c r="M407" s="5">
        <v>0</v>
      </c>
      <c r="N407" s="4">
        <v>0</v>
      </c>
      <c r="O407" s="5">
        <f t="shared" si="38"/>
        <v>0</v>
      </c>
      <c r="P407" s="4">
        <v>0</v>
      </c>
      <c r="Q407" s="4">
        <v>0</v>
      </c>
      <c r="R407" s="4">
        <v>0</v>
      </c>
      <c r="S407" s="5">
        <f t="shared" si="39"/>
        <v>0</v>
      </c>
      <c r="T407" s="5">
        <f t="shared" si="40"/>
        <v>0.5442021087107809</v>
      </c>
      <c r="U407" s="5">
        <f t="shared" si="41"/>
        <v>0</v>
      </c>
      <c r="V407" s="4">
        <v>-2</v>
      </c>
      <c r="W407" s="4">
        <v>41</v>
      </c>
      <c r="X407" s="4">
        <v>23</v>
      </c>
      <c r="Y407" s="4">
        <v>-27</v>
      </c>
      <c r="Z407" s="4">
        <v>0</v>
      </c>
      <c r="AA407" s="4">
        <v>0</v>
      </c>
      <c r="AB407" s="4">
        <v>0</v>
      </c>
      <c r="AC407" s="4">
        <v>0</v>
      </c>
      <c r="AD407" s="4"/>
      <c r="AE407" s="54">
        <v>5.8395862579345703E-3</v>
      </c>
      <c r="AF407" s="54">
        <v>0.99250876903533936</v>
      </c>
    </row>
    <row r="408" spans="1:32" x14ac:dyDescent="0.2">
      <c r="A408" s="53" t="s">
        <v>2243</v>
      </c>
      <c r="B408" s="53" t="s">
        <v>2496</v>
      </c>
      <c r="C408" s="54" t="s">
        <v>3212</v>
      </c>
      <c r="D408" s="13" t="s">
        <v>1058</v>
      </c>
      <c r="E408" s="4" t="s">
        <v>1060</v>
      </c>
      <c r="F408" s="4" t="s">
        <v>1059</v>
      </c>
      <c r="G408" s="4" t="s">
        <v>27</v>
      </c>
      <c r="H408" s="4">
        <v>1214</v>
      </c>
      <c r="I408" s="5">
        <f t="shared" si="36"/>
        <v>947.95685625022941</v>
      </c>
      <c r="J408" s="4">
        <v>4524</v>
      </c>
      <c r="K408" s="5">
        <f t="shared" si="37"/>
        <v>2442.3781766707534</v>
      </c>
      <c r="L408" s="5">
        <v>0</v>
      </c>
      <c r="M408" s="5">
        <v>0</v>
      </c>
      <c r="N408" s="4">
        <v>0</v>
      </c>
      <c r="O408" s="5">
        <f t="shared" si="38"/>
        <v>0</v>
      </c>
      <c r="P408" s="4">
        <v>0</v>
      </c>
      <c r="Q408" s="4">
        <v>0</v>
      </c>
      <c r="R408" s="4">
        <v>0</v>
      </c>
      <c r="S408" s="5">
        <f t="shared" si="39"/>
        <v>0</v>
      </c>
      <c r="T408" s="5">
        <f t="shared" si="40"/>
        <v>2.576465543307433</v>
      </c>
      <c r="U408" s="5">
        <f t="shared" si="41"/>
        <v>0</v>
      </c>
      <c r="V408" s="4">
        <v>17</v>
      </c>
      <c r="W408" s="4">
        <v>-11</v>
      </c>
      <c r="X408" s="4">
        <v>-22</v>
      </c>
      <c r="Y408" s="4">
        <v>2</v>
      </c>
      <c r="Z408" s="4">
        <v>0</v>
      </c>
      <c r="AA408" s="4">
        <v>0</v>
      </c>
      <c r="AB408" s="4">
        <v>0</v>
      </c>
      <c r="AC408" s="4">
        <v>0</v>
      </c>
      <c r="AD408" s="4"/>
      <c r="AE408" s="54">
        <v>-5.1674842834472656E-3</v>
      </c>
      <c r="AF408" s="54">
        <v>-0.98841118812561035</v>
      </c>
    </row>
    <row r="409" spans="1:32" x14ac:dyDescent="0.2">
      <c r="A409" s="53" t="s">
        <v>2243</v>
      </c>
      <c r="B409" s="53" t="s">
        <v>2497</v>
      </c>
      <c r="C409" s="54" t="s">
        <v>3213</v>
      </c>
      <c r="D409" s="13" t="s">
        <v>1061</v>
      </c>
      <c r="E409" s="4" t="s">
        <v>1063</v>
      </c>
      <c r="F409" s="4" t="s">
        <v>1062</v>
      </c>
      <c r="G409" s="4" t="s">
        <v>27</v>
      </c>
      <c r="H409" s="4">
        <v>206</v>
      </c>
      <c r="I409" s="5">
        <f t="shared" si="36"/>
        <v>160.85594101115919</v>
      </c>
      <c r="J409" s="4">
        <v>678</v>
      </c>
      <c r="K409" s="5">
        <f t="shared" si="37"/>
        <v>366.03280366551081</v>
      </c>
      <c r="L409" s="5">
        <v>0</v>
      </c>
      <c r="M409" s="5">
        <v>0</v>
      </c>
      <c r="N409" s="4">
        <v>0</v>
      </c>
      <c r="O409" s="5">
        <f t="shared" si="38"/>
        <v>0</v>
      </c>
      <c r="P409" s="4">
        <v>0</v>
      </c>
      <c r="Q409" s="4">
        <v>0</v>
      </c>
      <c r="R409" s="4">
        <v>0</v>
      </c>
      <c r="S409" s="5">
        <f t="shared" si="39"/>
        <v>0</v>
      </c>
      <c r="T409" s="5">
        <f t="shared" si="40"/>
        <v>2.2755317669001589</v>
      </c>
      <c r="U409" s="5">
        <f t="shared" si="41"/>
        <v>0</v>
      </c>
      <c r="V409" s="4">
        <v>-5</v>
      </c>
      <c r="W409" s="4">
        <v>11</v>
      </c>
      <c r="X409" s="4">
        <v>-14</v>
      </c>
      <c r="Y409" s="4">
        <v>1</v>
      </c>
      <c r="Z409" s="4">
        <v>0</v>
      </c>
      <c r="AA409" s="4">
        <v>0</v>
      </c>
      <c r="AB409" s="4">
        <v>0</v>
      </c>
      <c r="AC409" s="4">
        <v>0</v>
      </c>
      <c r="AD409" s="4"/>
      <c r="AE409" s="54">
        <v>-1.2102603912353521E-2</v>
      </c>
      <c r="AF409" s="54">
        <v>-0.998668372631073</v>
      </c>
    </row>
    <row r="410" spans="1:32" x14ac:dyDescent="0.2">
      <c r="A410" s="53" t="s">
        <v>2243</v>
      </c>
      <c r="B410" s="53" t="s">
        <v>2498</v>
      </c>
      <c r="C410" s="54" t="s">
        <v>3214</v>
      </c>
      <c r="D410" s="13" t="s">
        <v>1064</v>
      </c>
      <c r="E410" s="4" t="s">
        <v>1066</v>
      </c>
      <c r="F410" s="4" t="s">
        <v>1065</v>
      </c>
      <c r="G410" s="4" t="s">
        <v>27</v>
      </c>
      <c r="H410" s="4">
        <v>1104</v>
      </c>
      <c r="I410" s="5">
        <f t="shared" si="36"/>
        <v>862.06290716660067</v>
      </c>
      <c r="J410" s="4">
        <v>862</v>
      </c>
      <c r="K410" s="5">
        <f t="shared" si="37"/>
        <v>465.36913976352554</v>
      </c>
      <c r="L410" s="5">
        <v>0</v>
      </c>
      <c r="M410" s="5">
        <v>0</v>
      </c>
      <c r="N410" s="4">
        <v>0</v>
      </c>
      <c r="O410" s="5">
        <f t="shared" si="38"/>
        <v>0</v>
      </c>
      <c r="P410" s="4">
        <v>0</v>
      </c>
      <c r="Q410" s="4">
        <v>0</v>
      </c>
      <c r="R410" s="4">
        <v>0</v>
      </c>
      <c r="S410" s="5">
        <f t="shared" si="39"/>
        <v>0</v>
      </c>
      <c r="T410" s="5">
        <f t="shared" si="40"/>
        <v>0.53983199589585074</v>
      </c>
      <c r="U410" s="5">
        <f t="shared" si="41"/>
        <v>0</v>
      </c>
      <c r="V410" s="4">
        <v>-39</v>
      </c>
      <c r="W410" s="4">
        <v>31</v>
      </c>
      <c r="X410" s="4">
        <v>-21</v>
      </c>
      <c r="Y410" s="4">
        <v>1</v>
      </c>
      <c r="Z410" s="4">
        <v>0</v>
      </c>
      <c r="AA410" s="4">
        <v>0</v>
      </c>
      <c r="AB410" s="4">
        <v>0</v>
      </c>
      <c r="AC410" s="4">
        <v>0</v>
      </c>
      <c r="AD410" s="4"/>
      <c r="AE410" s="54">
        <v>1.9262790679931641E-2</v>
      </c>
      <c r="AF410" s="54">
        <v>0.9994194507598877</v>
      </c>
    </row>
    <row r="411" spans="1:32" x14ac:dyDescent="0.2">
      <c r="A411" s="53" t="s">
        <v>2243</v>
      </c>
      <c r="B411" s="53" t="s">
        <v>2491</v>
      </c>
      <c r="C411" s="54" t="s">
        <v>3215</v>
      </c>
      <c r="D411" s="13" t="s">
        <v>1043</v>
      </c>
      <c r="E411" s="4" t="s">
        <v>1045</v>
      </c>
      <c r="F411" s="4" t="s">
        <v>1044</v>
      </c>
      <c r="G411" s="4" t="s">
        <v>27</v>
      </c>
      <c r="H411" s="4">
        <v>224</v>
      </c>
      <c r="I411" s="5">
        <f t="shared" si="36"/>
        <v>174.91131449757117</v>
      </c>
      <c r="J411" s="4">
        <v>5193</v>
      </c>
      <c r="K411" s="5">
        <f t="shared" si="37"/>
        <v>2803.552137809731</v>
      </c>
      <c r="L411" s="5">
        <v>0</v>
      </c>
      <c r="M411" s="5">
        <v>0</v>
      </c>
      <c r="N411" s="4">
        <v>0</v>
      </c>
      <c r="O411" s="5">
        <f t="shared" si="38"/>
        <v>0</v>
      </c>
      <c r="P411" s="4">
        <v>0</v>
      </c>
      <c r="Q411" s="4">
        <v>0</v>
      </c>
      <c r="R411" s="4">
        <v>0</v>
      </c>
      <c r="S411" s="5">
        <f t="shared" si="39"/>
        <v>0</v>
      </c>
      <c r="T411" s="5">
        <f t="shared" si="40"/>
        <v>16.028420722026311</v>
      </c>
      <c r="U411" s="5">
        <f t="shared" si="41"/>
        <v>0</v>
      </c>
      <c r="V411" s="4">
        <v>-15</v>
      </c>
      <c r="W411" s="4">
        <v>-49</v>
      </c>
      <c r="X411" s="4">
        <v>1</v>
      </c>
      <c r="Y411" s="4">
        <v>-49</v>
      </c>
      <c r="Z411" s="4">
        <v>0</v>
      </c>
      <c r="AA411" s="4">
        <v>0</v>
      </c>
      <c r="AB411" s="4">
        <v>0</v>
      </c>
      <c r="AC411" s="4">
        <v>0</v>
      </c>
      <c r="AD411" s="4"/>
      <c r="AE411" s="54">
        <v>-2.5839805603027339E-3</v>
      </c>
      <c r="AF411" s="54">
        <v>-0.92045027017593384</v>
      </c>
    </row>
    <row r="412" spans="1:32" x14ac:dyDescent="0.2">
      <c r="A412" s="53" t="s">
        <v>2243</v>
      </c>
      <c r="B412" s="53" t="s">
        <v>2490</v>
      </c>
      <c r="C412" s="54" t="s">
        <v>3216</v>
      </c>
      <c r="D412" s="13" t="s">
        <v>1503</v>
      </c>
      <c r="E412" s="4" t="s">
        <v>1505</v>
      </c>
      <c r="F412" s="4" t="s">
        <v>1504</v>
      </c>
      <c r="G412" s="4" t="s">
        <v>1170</v>
      </c>
      <c r="H412" s="4">
        <v>410</v>
      </c>
      <c r="I412" s="5">
        <f t="shared" si="36"/>
        <v>320.15017385716146</v>
      </c>
      <c r="J412" s="4">
        <v>4471</v>
      </c>
      <c r="K412" s="5">
        <f t="shared" si="37"/>
        <v>2413.7649929033905</v>
      </c>
      <c r="L412" s="5">
        <v>0</v>
      </c>
      <c r="M412" s="5">
        <v>0</v>
      </c>
      <c r="N412" s="4">
        <v>0</v>
      </c>
      <c r="O412" s="5">
        <f t="shared" si="38"/>
        <v>0</v>
      </c>
      <c r="P412" s="4">
        <v>0</v>
      </c>
      <c r="Q412" s="4">
        <v>0</v>
      </c>
      <c r="R412" s="4">
        <v>0</v>
      </c>
      <c r="S412" s="5">
        <f t="shared" si="39"/>
        <v>0</v>
      </c>
      <c r="T412" s="5">
        <f t="shared" si="40"/>
        <v>7.539477376577401</v>
      </c>
      <c r="U412" s="5">
        <f t="shared" si="41"/>
        <v>0</v>
      </c>
      <c r="V412" s="4">
        <v>-4</v>
      </c>
      <c r="W412" s="4">
        <v>-16</v>
      </c>
      <c r="X412" s="4">
        <v>12</v>
      </c>
      <c r="Y412" s="4">
        <v>-24</v>
      </c>
      <c r="Z412" s="4">
        <v>0</v>
      </c>
      <c r="AA412" s="4">
        <v>0</v>
      </c>
      <c r="AB412" s="4">
        <v>0</v>
      </c>
      <c r="AC412" s="4">
        <v>0</v>
      </c>
      <c r="AD412" s="4"/>
      <c r="AE412" s="54">
        <v>-1.4474391937255859E-3</v>
      </c>
      <c r="AF412" s="54">
        <v>-0.79053133726119995</v>
      </c>
    </row>
    <row r="413" spans="1:32" x14ac:dyDescent="0.2">
      <c r="A413" s="53" t="s">
        <v>2243</v>
      </c>
      <c r="B413" s="53" t="s">
        <v>2489</v>
      </c>
      <c r="C413" s="54" t="s">
        <v>3217</v>
      </c>
      <c r="D413" s="13" t="s">
        <v>1289</v>
      </c>
      <c r="E413" s="4" t="s">
        <v>1291</v>
      </c>
      <c r="F413" s="4" t="s">
        <v>1290</v>
      </c>
      <c r="G413" s="4" t="s">
        <v>27</v>
      </c>
      <c r="H413" s="4">
        <v>1190</v>
      </c>
      <c r="I413" s="5">
        <f t="shared" si="36"/>
        <v>929.21635826834665</v>
      </c>
      <c r="J413" s="4">
        <v>2772</v>
      </c>
      <c r="K413" s="5">
        <f t="shared" si="37"/>
        <v>1496.5234981722654</v>
      </c>
      <c r="L413" s="5">
        <v>0</v>
      </c>
      <c r="M413" s="5">
        <v>0</v>
      </c>
      <c r="N413" s="4">
        <v>0</v>
      </c>
      <c r="O413" s="5">
        <f t="shared" si="38"/>
        <v>0</v>
      </c>
      <c r="P413" s="4">
        <v>0</v>
      </c>
      <c r="Q413" s="4">
        <v>0</v>
      </c>
      <c r="R413" s="4">
        <v>0</v>
      </c>
      <c r="S413" s="5">
        <f t="shared" si="39"/>
        <v>0</v>
      </c>
      <c r="T413" s="5">
        <f t="shared" si="40"/>
        <v>1.6105221188326164</v>
      </c>
      <c r="U413" s="5">
        <f t="shared" si="41"/>
        <v>0</v>
      </c>
      <c r="V413" s="4">
        <v>-11</v>
      </c>
      <c r="W413" s="4">
        <v>12</v>
      </c>
      <c r="X413" s="4">
        <v>-10</v>
      </c>
      <c r="Y413" s="4">
        <v>-24</v>
      </c>
      <c r="Z413" s="4">
        <v>0</v>
      </c>
      <c r="AA413" s="4">
        <v>0</v>
      </c>
      <c r="AB413" s="4">
        <v>0</v>
      </c>
      <c r="AC413" s="4">
        <v>0</v>
      </c>
      <c r="AD413" s="4"/>
      <c r="AE413" s="54">
        <v>-1.0085105895996089E-3</v>
      </c>
      <c r="AF413" s="54">
        <v>-0.68079328536987305</v>
      </c>
    </row>
    <row r="414" spans="1:32" x14ac:dyDescent="0.2">
      <c r="A414" s="53" t="s">
        <v>2243</v>
      </c>
      <c r="B414" s="53" t="s">
        <v>2486</v>
      </c>
      <c r="C414" s="54" t="s">
        <v>3218</v>
      </c>
      <c r="D414" s="13" t="s">
        <v>2001</v>
      </c>
      <c r="E414" s="4" t="s">
        <v>2003</v>
      </c>
      <c r="F414" s="4" t="s">
        <v>2002</v>
      </c>
      <c r="G414" s="4" t="s">
        <v>27</v>
      </c>
      <c r="H414" s="4">
        <v>421</v>
      </c>
      <c r="I414" s="5">
        <f t="shared" si="36"/>
        <v>328.73956876552438</v>
      </c>
      <c r="J414" s="4">
        <v>3882</v>
      </c>
      <c r="K414" s="5">
        <f t="shared" si="37"/>
        <v>2095.7807431113761</v>
      </c>
      <c r="L414" s="5">
        <v>0</v>
      </c>
      <c r="M414" s="5">
        <v>0</v>
      </c>
      <c r="N414" s="4">
        <v>0</v>
      </c>
      <c r="O414" s="5">
        <f t="shared" si="38"/>
        <v>0</v>
      </c>
      <c r="P414" s="4">
        <v>0</v>
      </c>
      <c r="Q414" s="4">
        <v>0</v>
      </c>
      <c r="R414" s="4">
        <v>0</v>
      </c>
      <c r="S414" s="5">
        <f t="shared" si="39"/>
        <v>0</v>
      </c>
      <c r="T414" s="5">
        <f t="shared" si="40"/>
        <v>6.3752007431943953</v>
      </c>
      <c r="U414" s="5">
        <f t="shared" si="41"/>
        <v>0</v>
      </c>
      <c r="V414" s="4">
        <v>-10</v>
      </c>
      <c r="W414" s="4">
        <v>13</v>
      </c>
      <c r="X414" s="4">
        <v>-9</v>
      </c>
      <c r="Y414" s="4">
        <v>31</v>
      </c>
      <c r="Z414" s="4">
        <v>0</v>
      </c>
      <c r="AA414" s="4">
        <v>0</v>
      </c>
      <c r="AB414" s="4">
        <v>0</v>
      </c>
      <c r="AC414" s="4">
        <v>0</v>
      </c>
      <c r="AD414" s="4"/>
      <c r="AE414" s="54">
        <v>4.6515464782714838E-4</v>
      </c>
      <c r="AF414" s="54">
        <v>0.47702011466026312</v>
      </c>
    </row>
    <row r="415" spans="1:32" ht="45" x14ac:dyDescent="0.2">
      <c r="A415" s="53" t="s">
        <v>2243</v>
      </c>
      <c r="B415" s="53" t="s">
        <v>2487</v>
      </c>
      <c r="C415" s="54" t="s">
        <v>3219</v>
      </c>
      <c r="D415" s="13" t="s">
        <v>1827</v>
      </c>
      <c r="E415" s="4" t="s">
        <v>1829</v>
      </c>
      <c r="F415" s="4" t="s">
        <v>1828</v>
      </c>
      <c r="G415" s="4" t="s">
        <v>27</v>
      </c>
      <c r="H415" s="4">
        <v>259</v>
      </c>
      <c r="I415" s="5">
        <f t="shared" si="36"/>
        <v>202.24120738781664</v>
      </c>
      <c r="J415" s="4">
        <v>1188</v>
      </c>
      <c r="K415" s="5">
        <f t="shared" si="37"/>
        <v>641.36721350239941</v>
      </c>
      <c r="L415" s="5">
        <v>0</v>
      </c>
      <c r="M415" s="5">
        <v>0</v>
      </c>
      <c r="N415" s="4">
        <v>0</v>
      </c>
      <c r="O415" s="5">
        <f t="shared" si="38"/>
        <v>0</v>
      </c>
      <c r="P415" s="4">
        <v>0</v>
      </c>
      <c r="Q415" s="4">
        <v>0</v>
      </c>
      <c r="R415" s="4">
        <v>0</v>
      </c>
      <c r="S415" s="5">
        <f t="shared" si="39"/>
        <v>0</v>
      </c>
      <c r="T415" s="5">
        <f t="shared" si="40"/>
        <v>3.1712983807128738</v>
      </c>
      <c r="U415" s="5">
        <f t="shared" si="41"/>
        <v>0</v>
      </c>
      <c r="V415" s="4">
        <v>4</v>
      </c>
      <c r="W415" s="4">
        <v>-23</v>
      </c>
      <c r="X415" s="4">
        <v>-7</v>
      </c>
      <c r="Y415" s="4">
        <v>-8</v>
      </c>
      <c r="Z415" s="4">
        <v>0</v>
      </c>
      <c r="AA415" s="4">
        <v>0</v>
      </c>
      <c r="AB415" s="4">
        <v>0</v>
      </c>
      <c r="AC415" s="4">
        <v>0</v>
      </c>
      <c r="AD415" s="52" t="s">
        <v>1163</v>
      </c>
      <c r="AE415" s="54">
        <v>-4.9787521362304688E-2</v>
      </c>
      <c r="AF415" s="54">
        <v>-0.99982506036758423</v>
      </c>
    </row>
    <row r="416" spans="1:32" x14ac:dyDescent="0.2">
      <c r="A416" s="53" t="s">
        <v>2243</v>
      </c>
      <c r="B416" s="53" t="s">
        <v>2488</v>
      </c>
      <c r="C416" s="54" t="s">
        <v>3220</v>
      </c>
      <c r="D416" s="13" t="s">
        <v>1286</v>
      </c>
      <c r="E416" s="4" t="s">
        <v>1288</v>
      </c>
      <c r="F416" s="4" t="s">
        <v>1287</v>
      </c>
      <c r="G416" s="4" t="s">
        <v>27</v>
      </c>
      <c r="H416" s="4">
        <v>1003</v>
      </c>
      <c r="I416" s="5">
        <f t="shared" si="36"/>
        <v>783.19664482617804</v>
      </c>
      <c r="J416" s="4">
        <v>473</v>
      </c>
      <c r="K416" s="5">
        <f t="shared" si="37"/>
        <v>255.35916833891829</v>
      </c>
      <c r="L416" s="5">
        <v>0</v>
      </c>
      <c r="M416" s="5">
        <v>0</v>
      </c>
      <c r="N416" s="4">
        <v>0</v>
      </c>
      <c r="O416" s="5">
        <f t="shared" si="38"/>
        <v>0</v>
      </c>
      <c r="P416" s="4">
        <v>0</v>
      </c>
      <c r="Q416" s="4">
        <v>0</v>
      </c>
      <c r="R416" s="4">
        <v>0</v>
      </c>
      <c r="S416" s="5">
        <f t="shared" si="39"/>
        <v>0</v>
      </c>
      <c r="T416" s="5">
        <f t="shared" si="40"/>
        <v>0.3260473216092396</v>
      </c>
      <c r="U416" s="5">
        <f t="shared" si="41"/>
        <v>0</v>
      </c>
      <c r="V416" s="4">
        <v>-47</v>
      </c>
      <c r="W416" s="4">
        <v>18</v>
      </c>
      <c r="X416" s="4">
        <v>18</v>
      </c>
      <c r="Y416" s="4">
        <v>1</v>
      </c>
      <c r="Z416" s="4">
        <v>0</v>
      </c>
      <c r="AA416" s="4">
        <v>0</v>
      </c>
      <c r="AB416" s="4">
        <v>0</v>
      </c>
      <c r="AC416" s="4">
        <v>0</v>
      </c>
      <c r="AD416" s="4"/>
      <c r="AE416" s="54">
        <v>-1.900672912597656E-3</v>
      </c>
      <c r="AF416" s="54">
        <v>-0.8596574068069458</v>
      </c>
    </row>
    <row r="417" spans="1:32" x14ac:dyDescent="0.2">
      <c r="A417" s="53" t="s">
        <v>2243</v>
      </c>
      <c r="B417" s="53" t="s">
        <v>2485</v>
      </c>
      <c r="C417" s="54" t="s">
        <v>3221</v>
      </c>
      <c r="D417" s="13" t="s">
        <v>1824</v>
      </c>
      <c r="E417" s="4" t="s">
        <v>1826</v>
      </c>
      <c r="F417" s="4" t="s">
        <v>1825</v>
      </c>
      <c r="G417" s="4" t="s">
        <v>184</v>
      </c>
      <c r="H417" s="4">
        <v>1080</v>
      </c>
      <c r="I417" s="5">
        <f t="shared" si="36"/>
        <v>843.32240918471814</v>
      </c>
      <c r="J417" s="4">
        <v>3265</v>
      </c>
      <c r="K417" s="5">
        <f t="shared" si="37"/>
        <v>1762.6800943479245</v>
      </c>
      <c r="L417" s="5">
        <v>0</v>
      </c>
      <c r="M417" s="5">
        <v>0</v>
      </c>
      <c r="N417" s="4">
        <v>0</v>
      </c>
      <c r="O417" s="5">
        <f t="shared" si="38"/>
        <v>0</v>
      </c>
      <c r="P417" s="4">
        <v>0</v>
      </c>
      <c r="Q417" s="4">
        <v>0</v>
      </c>
      <c r="R417" s="4">
        <v>0</v>
      </c>
      <c r="S417" s="5">
        <f t="shared" si="39"/>
        <v>0</v>
      </c>
      <c r="T417" s="5">
        <f t="shared" si="40"/>
        <v>2.0901615742097914</v>
      </c>
      <c r="U417" s="5">
        <f t="shared" si="41"/>
        <v>0</v>
      </c>
      <c r="V417" s="4">
        <v>6</v>
      </c>
      <c r="W417" s="4">
        <v>-33</v>
      </c>
      <c r="X417" s="4">
        <v>1</v>
      </c>
      <c r="Y417" s="4">
        <v>-48</v>
      </c>
      <c r="Z417" s="4">
        <v>0</v>
      </c>
      <c r="AA417" s="4">
        <v>0</v>
      </c>
      <c r="AB417" s="4">
        <v>0</v>
      </c>
      <c r="AC417" s="4">
        <v>0</v>
      </c>
      <c r="AD417" s="4"/>
      <c r="AE417" s="54">
        <v>1.9650459289550781E-3</v>
      </c>
      <c r="AF417" s="54">
        <v>0.86842536926269531</v>
      </c>
    </row>
    <row r="418" spans="1:32" s="58" customFormat="1" x14ac:dyDescent="0.2">
      <c r="A418" s="53" t="s">
        <v>2243</v>
      </c>
      <c r="B418" s="53" t="s">
        <v>2484</v>
      </c>
      <c r="C418" s="54" t="s">
        <v>3222</v>
      </c>
      <c r="D418" s="13" t="s">
        <v>1821</v>
      </c>
      <c r="E418" s="4" t="s">
        <v>1823</v>
      </c>
      <c r="F418" s="4" t="s">
        <v>1822</v>
      </c>
      <c r="G418" s="4" t="s">
        <v>1150</v>
      </c>
      <c r="H418" s="4">
        <v>1420</v>
      </c>
      <c r="I418" s="5">
        <f t="shared" si="36"/>
        <v>1108.8127972613884</v>
      </c>
      <c r="J418" s="4">
        <v>4340</v>
      </c>
      <c r="K418" s="5">
        <f t="shared" si="37"/>
        <v>2343.0418405727387</v>
      </c>
      <c r="L418" s="5">
        <v>0</v>
      </c>
      <c r="M418" s="5">
        <v>0</v>
      </c>
      <c r="N418" s="4">
        <v>0</v>
      </c>
      <c r="O418" s="5">
        <f t="shared" si="38"/>
        <v>0</v>
      </c>
      <c r="P418" s="4">
        <v>0</v>
      </c>
      <c r="Q418" s="4">
        <v>0</v>
      </c>
      <c r="R418" s="4">
        <v>0</v>
      </c>
      <c r="S418" s="5">
        <f t="shared" si="39"/>
        <v>0</v>
      </c>
      <c r="T418" s="5">
        <f t="shared" si="40"/>
        <v>2.1131085845687592</v>
      </c>
      <c r="U418" s="5">
        <f t="shared" si="41"/>
        <v>0</v>
      </c>
      <c r="V418" s="4">
        <v>-23</v>
      </c>
      <c r="W418" s="4">
        <v>29</v>
      </c>
      <c r="X418" s="4">
        <v>23</v>
      </c>
      <c r="Y418" s="4">
        <v>29</v>
      </c>
      <c r="Z418" s="4">
        <v>0</v>
      </c>
      <c r="AA418" s="4">
        <v>0</v>
      </c>
      <c r="AB418" s="4">
        <v>0</v>
      </c>
      <c r="AC418" s="4">
        <v>0</v>
      </c>
      <c r="AD418" s="4"/>
      <c r="AE418" s="54">
        <v>3.4451484680175781E-4</v>
      </c>
      <c r="AF418" s="54">
        <v>0.40266996622085571</v>
      </c>
    </row>
    <row r="419" spans="1:32" x14ac:dyDescent="0.2">
      <c r="A419" s="53" t="s">
        <v>2243</v>
      </c>
      <c r="B419" s="53" t="s">
        <v>2483</v>
      </c>
      <c r="C419" s="54" t="s">
        <v>3223</v>
      </c>
      <c r="D419" s="13" t="s">
        <v>1040</v>
      </c>
      <c r="E419" s="4" t="s">
        <v>1042</v>
      </c>
      <c r="F419" s="4" t="s">
        <v>1041</v>
      </c>
      <c r="G419" s="4" t="s">
        <v>401</v>
      </c>
      <c r="H419" s="4">
        <v>1277</v>
      </c>
      <c r="I419" s="5">
        <f t="shared" si="36"/>
        <v>997.15066345267132</v>
      </c>
      <c r="J419" s="4">
        <v>2575</v>
      </c>
      <c r="K419" s="5">
        <f t="shared" si="37"/>
        <v>1390.1688339803691</v>
      </c>
      <c r="L419" s="5">
        <v>0</v>
      </c>
      <c r="M419" s="5">
        <v>0</v>
      </c>
      <c r="N419" s="4">
        <v>0</v>
      </c>
      <c r="O419" s="5">
        <f t="shared" si="38"/>
        <v>0</v>
      </c>
      <c r="P419" s="4">
        <v>0</v>
      </c>
      <c r="Q419" s="4">
        <v>0</v>
      </c>
      <c r="R419" s="4">
        <v>0</v>
      </c>
      <c r="S419" s="5">
        <f t="shared" si="39"/>
        <v>0</v>
      </c>
      <c r="T419" s="5">
        <f t="shared" si="40"/>
        <v>1.3941412114863942</v>
      </c>
      <c r="U419" s="5">
        <f t="shared" si="41"/>
        <v>0</v>
      </c>
      <c r="V419" s="4">
        <v>25</v>
      </c>
      <c r="W419" s="4">
        <v>-17</v>
      </c>
      <c r="X419" s="4">
        <v>25</v>
      </c>
      <c r="Y419" s="4">
        <v>-17</v>
      </c>
      <c r="Z419" s="4">
        <v>0</v>
      </c>
      <c r="AA419" s="4">
        <v>0</v>
      </c>
      <c r="AB419" s="4">
        <v>0</v>
      </c>
      <c r="AC419" s="4">
        <v>0</v>
      </c>
      <c r="AD419" s="4"/>
      <c r="AE419" s="54">
        <v>-2.1710395812988281E-3</v>
      </c>
      <c r="AF419" s="54">
        <v>-0.88693869113922119</v>
      </c>
    </row>
    <row r="420" spans="1:32" x14ac:dyDescent="0.2">
      <c r="A420" s="53" t="s">
        <v>2243</v>
      </c>
      <c r="B420" s="53" t="s">
        <v>2482</v>
      </c>
      <c r="C420" s="54" t="s">
        <v>3224</v>
      </c>
      <c r="D420" s="13" t="s">
        <v>1998</v>
      </c>
      <c r="E420" s="4" t="s">
        <v>2000</v>
      </c>
      <c r="F420" s="4" t="s">
        <v>1999</v>
      </c>
      <c r="G420" s="4" t="s">
        <v>27</v>
      </c>
      <c r="H420" s="4">
        <v>1092</v>
      </c>
      <c r="I420" s="5">
        <f t="shared" si="36"/>
        <v>852.69265817565929</v>
      </c>
      <c r="J420" s="4">
        <v>4552</v>
      </c>
      <c r="K420" s="5">
        <f t="shared" si="37"/>
        <v>2457.4945756421903</v>
      </c>
      <c r="L420" s="5">
        <v>0</v>
      </c>
      <c r="M420" s="5">
        <v>0</v>
      </c>
      <c r="N420" s="4">
        <v>0</v>
      </c>
      <c r="O420" s="5">
        <f t="shared" si="38"/>
        <v>0</v>
      </c>
      <c r="P420" s="4">
        <v>0</v>
      </c>
      <c r="Q420" s="4">
        <v>0</v>
      </c>
      <c r="R420" s="4">
        <v>0</v>
      </c>
      <c r="S420" s="5">
        <f t="shared" si="39"/>
        <v>0</v>
      </c>
      <c r="T420" s="5">
        <f t="shared" si="40"/>
        <v>2.8820402663018276</v>
      </c>
      <c r="U420" s="5">
        <f t="shared" si="41"/>
        <v>0</v>
      </c>
      <c r="V420" s="4">
        <v>-41</v>
      </c>
      <c r="W420" s="4">
        <v>50</v>
      </c>
      <c r="X420" s="4">
        <v>2</v>
      </c>
      <c r="Y420" s="4">
        <v>-29</v>
      </c>
      <c r="Z420" s="4">
        <v>0</v>
      </c>
      <c r="AA420" s="4">
        <v>0</v>
      </c>
      <c r="AB420" s="4">
        <v>0</v>
      </c>
      <c r="AC420" s="4">
        <v>0</v>
      </c>
      <c r="AD420" s="4"/>
      <c r="AE420" s="54">
        <v>2.2833347320556641E-3</v>
      </c>
      <c r="AF420" s="54">
        <v>0.90083020925521851</v>
      </c>
    </row>
    <row r="421" spans="1:32" x14ac:dyDescent="0.2">
      <c r="A421" s="53" t="s">
        <v>2243</v>
      </c>
      <c r="B421" s="53" t="s">
        <v>2481</v>
      </c>
      <c r="C421" s="54" t="s">
        <v>3225</v>
      </c>
      <c r="D421" s="13" t="s">
        <v>1037</v>
      </c>
      <c r="E421" s="4" t="s">
        <v>1039</v>
      </c>
      <c r="F421" s="4" t="s">
        <v>1038</v>
      </c>
      <c r="G421" s="4" t="s">
        <v>1140</v>
      </c>
      <c r="H421" s="4">
        <v>260</v>
      </c>
      <c r="I421" s="5">
        <f t="shared" si="36"/>
        <v>203.0220614703951</v>
      </c>
      <c r="J421" s="4">
        <v>827</v>
      </c>
      <c r="K421" s="5">
        <f t="shared" si="37"/>
        <v>446.47364104922923</v>
      </c>
      <c r="L421" s="5">
        <v>0</v>
      </c>
      <c r="M421" s="5">
        <v>0</v>
      </c>
      <c r="N421" s="4">
        <v>0</v>
      </c>
      <c r="O421" s="5">
        <f t="shared" si="38"/>
        <v>0</v>
      </c>
      <c r="P421" s="4">
        <v>0</v>
      </c>
      <c r="Q421" s="4">
        <v>0</v>
      </c>
      <c r="R421" s="4">
        <v>0</v>
      </c>
      <c r="S421" s="5">
        <f t="shared" si="39"/>
        <v>0</v>
      </c>
      <c r="T421" s="5">
        <f t="shared" si="40"/>
        <v>2.1991385459079011</v>
      </c>
      <c r="U421" s="5">
        <f t="shared" si="41"/>
        <v>0</v>
      </c>
      <c r="V421" s="4">
        <v>35</v>
      </c>
      <c r="W421" s="4">
        <v>-35</v>
      </c>
      <c r="X421" s="4">
        <v>34</v>
      </c>
      <c r="Y421" s="4">
        <v>-9</v>
      </c>
      <c r="Z421" s="4">
        <v>0</v>
      </c>
      <c r="AA421" s="4">
        <v>0</v>
      </c>
      <c r="AB421" s="4">
        <v>0</v>
      </c>
      <c r="AC421" s="4">
        <v>0</v>
      </c>
      <c r="AD421" s="4"/>
      <c r="AE421" s="54">
        <v>1.7335414886474609E-3</v>
      </c>
      <c r="AF421" s="54">
        <v>0.84048247337341309</v>
      </c>
    </row>
    <row r="422" spans="1:32" x14ac:dyDescent="0.2">
      <c r="A422" s="53" t="s">
        <v>2243</v>
      </c>
      <c r="B422" s="53" t="s">
        <v>2474</v>
      </c>
      <c r="C422" s="54" t="s">
        <v>3226</v>
      </c>
      <c r="D422" s="13" t="s">
        <v>1025</v>
      </c>
      <c r="E422" s="4" t="s">
        <v>1027</v>
      </c>
      <c r="F422" s="4" t="s">
        <v>1026</v>
      </c>
      <c r="G422" s="4" t="s">
        <v>27</v>
      </c>
      <c r="H422" s="4">
        <v>846</v>
      </c>
      <c r="I422" s="5">
        <f t="shared" si="36"/>
        <v>660.60255386136248</v>
      </c>
      <c r="J422" s="4">
        <v>2544</v>
      </c>
      <c r="K422" s="5">
        <f t="shared" si="37"/>
        <v>1373.4328208334211</v>
      </c>
      <c r="L422" s="5">
        <v>0</v>
      </c>
      <c r="M422" s="5">
        <v>0</v>
      </c>
      <c r="N422" s="4">
        <v>0</v>
      </c>
      <c r="O422" s="5">
        <f t="shared" si="38"/>
        <v>0</v>
      </c>
      <c r="P422" s="4">
        <v>0</v>
      </c>
      <c r="Q422" s="4">
        <v>0</v>
      </c>
      <c r="R422" s="4">
        <v>0</v>
      </c>
      <c r="S422" s="5">
        <f t="shared" si="39"/>
        <v>0</v>
      </c>
      <c r="T422" s="5">
        <f t="shared" si="40"/>
        <v>2.0790607193469266</v>
      </c>
      <c r="U422" s="5">
        <f t="shared" si="41"/>
        <v>0</v>
      </c>
      <c r="V422" s="4">
        <v>-39</v>
      </c>
      <c r="W422" s="4">
        <v>-11</v>
      </c>
      <c r="X422" s="4">
        <v>-39</v>
      </c>
      <c r="Y422" s="4">
        <v>-47</v>
      </c>
      <c r="Z422" s="4">
        <v>0</v>
      </c>
      <c r="AA422" s="4">
        <v>0</v>
      </c>
      <c r="AB422" s="4">
        <v>0</v>
      </c>
      <c r="AC422" s="4">
        <v>0</v>
      </c>
      <c r="AD422" s="4"/>
      <c r="AE422" s="54">
        <v>-2.6702880859375E-4</v>
      </c>
      <c r="AF422" s="54">
        <v>-0.34311208128929138</v>
      </c>
    </row>
    <row r="423" spans="1:32" x14ac:dyDescent="0.2">
      <c r="A423" s="53" t="s">
        <v>2243</v>
      </c>
      <c r="B423" s="53" t="s">
        <v>2475</v>
      </c>
      <c r="C423" s="54" t="s">
        <v>3227</v>
      </c>
      <c r="D423" s="13" t="s">
        <v>1028</v>
      </c>
      <c r="E423" s="4" t="s">
        <v>1030</v>
      </c>
      <c r="F423" s="4" t="s">
        <v>1029</v>
      </c>
      <c r="G423" s="4" t="s">
        <v>714</v>
      </c>
      <c r="H423" s="4">
        <v>465</v>
      </c>
      <c r="I423" s="5">
        <f t="shared" si="36"/>
        <v>363.09714839897583</v>
      </c>
      <c r="J423" s="4">
        <v>4961</v>
      </c>
      <c r="K423" s="5">
        <f t="shared" si="37"/>
        <v>2678.3019749035388</v>
      </c>
      <c r="L423" s="5">
        <v>0</v>
      </c>
      <c r="M423" s="5">
        <v>0</v>
      </c>
      <c r="N423" s="4">
        <v>0</v>
      </c>
      <c r="O423" s="5">
        <f t="shared" si="38"/>
        <v>0</v>
      </c>
      <c r="P423" s="4">
        <v>0</v>
      </c>
      <c r="Q423" s="4">
        <v>0</v>
      </c>
      <c r="R423" s="4">
        <v>0</v>
      </c>
      <c r="S423" s="5">
        <f t="shared" si="39"/>
        <v>0</v>
      </c>
      <c r="T423" s="5">
        <f t="shared" si="40"/>
        <v>7.3762682706628864</v>
      </c>
      <c r="U423" s="5">
        <f t="shared" si="41"/>
        <v>0</v>
      </c>
      <c r="V423" s="4">
        <v>27</v>
      </c>
      <c r="W423" s="4">
        <v>36</v>
      </c>
      <c r="X423" s="4">
        <v>-33</v>
      </c>
      <c r="Y423" s="4">
        <v>14</v>
      </c>
      <c r="Z423" s="4">
        <v>0</v>
      </c>
      <c r="AA423" s="4">
        <v>0</v>
      </c>
      <c r="AB423" s="4">
        <v>0</v>
      </c>
      <c r="AC423" s="4">
        <v>0</v>
      </c>
      <c r="AD423" s="4"/>
      <c r="AE423" s="54">
        <v>-1.902580261230469E-4</v>
      </c>
      <c r="AF423" s="54">
        <v>-0.29125374555587769</v>
      </c>
    </row>
    <row r="424" spans="1:32" x14ac:dyDescent="0.2">
      <c r="A424" s="53" t="s">
        <v>2243</v>
      </c>
      <c r="B424" s="53" t="s">
        <v>2476</v>
      </c>
      <c r="C424" s="54" t="s">
        <v>3228</v>
      </c>
      <c r="D424" s="13" t="s">
        <v>1031</v>
      </c>
      <c r="E424" s="4" t="s">
        <v>1033</v>
      </c>
      <c r="F424" s="4" t="s">
        <v>1032</v>
      </c>
      <c r="G424" s="4" t="s">
        <v>1124</v>
      </c>
      <c r="H424" s="4">
        <v>191</v>
      </c>
      <c r="I424" s="5">
        <f t="shared" si="36"/>
        <v>149.14312977248255</v>
      </c>
      <c r="J424" s="4">
        <v>2232</v>
      </c>
      <c r="K424" s="5">
        <f t="shared" si="37"/>
        <v>1204.9929465802657</v>
      </c>
      <c r="L424" s="5">
        <v>0</v>
      </c>
      <c r="M424" s="5">
        <v>0</v>
      </c>
      <c r="N424" s="4">
        <v>0</v>
      </c>
      <c r="O424" s="5">
        <f t="shared" si="38"/>
        <v>0</v>
      </c>
      <c r="P424" s="4">
        <v>0</v>
      </c>
      <c r="Q424" s="4">
        <v>0</v>
      </c>
      <c r="R424" s="4">
        <v>0</v>
      </c>
      <c r="S424" s="5">
        <f t="shared" si="39"/>
        <v>0</v>
      </c>
      <c r="T424" s="5">
        <f t="shared" si="40"/>
        <v>8.0794398536391121</v>
      </c>
      <c r="U424" s="5">
        <f t="shared" si="41"/>
        <v>0</v>
      </c>
      <c r="V424" s="4">
        <v>-2</v>
      </c>
      <c r="W424" s="4">
        <v>-44</v>
      </c>
      <c r="X424" s="4">
        <v>-1</v>
      </c>
      <c r="Y424" s="4">
        <v>42</v>
      </c>
      <c r="Z424" s="4">
        <v>0</v>
      </c>
      <c r="AA424" s="4">
        <v>0</v>
      </c>
      <c r="AB424" s="4">
        <v>0</v>
      </c>
      <c r="AC424" s="4">
        <v>0</v>
      </c>
      <c r="AD424" s="4"/>
      <c r="AE424" s="54">
        <v>-3.3693313598632808E-3</v>
      </c>
      <c r="AF424" s="54">
        <v>-0.95845037698745728</v>
      </c>
    </row>
    <row r="425" spans="1:32" x14ac:dyDescent="0.2">
      <c r="A425" s="53" t="s">
        <v>2243</v>
      </c>
      <c r="B425" s="53" t="s">
        <v>2477</v>
      </c>
      <c r="C425" s="54" t="s">
        <v>3229</v>
      </c>
      <c r="D425" s="13" t="s">
        <v>1384</v>
      </c>
      <c r="E425" s="4" t="s">
        <v>1386</v>
      </c>
      <c r="F425" s="4" t="s">
        <v>1385</v>
      </c>
      <c r="G425" s="4" t="s">
        <v>27</v>
      </c>
      <c r="H425" s="4">
        <v>145</v>
      </c>
      <c r="I425" s="5">
        <f t="shared" si="36"/>
        <v>113.22384197387419</v>
      </c>
      <c r="J425" s="4">
        <v>4471</v>
      </c>
      <c r="K425" s="5">
        <f t="shared" si="37"/>
        <v>2413.7649929033905</v>
      </c>
      <c r="L425" s="5">
        <v>0</v>
      </c>
      <c r="M425" s="5">
        <v>0</v>
      </c>
      <c r="N425" s="4">
        <v>0</v>
      </c>
      <c r="O425" s="5">
        <f t="shared" si="38"/>
        <v>0</v>
      </c>
      <c r="P425" s="4">
        <v>0</v>
      </c>
      <c r="Q425" s="4">
        <v>0</v>
      </c>
      <c r="R425" s="4">
        <v>0</v>
      </c>
      <c r="S425" s="5">
        <f t="shared" si="39"/>
        <v>0</v>
      </c>
      <c r="T425" s="5">
        <f t="shared" si="40"/>
        <v>21.318522237218854</v>
      </c>
      <c r="U425" s="5">
        <f t="shared" si="41"/>
        <v>0</v>
      </c>
      <c r="V425" s="4">
        <v>0</v>
      </c>
      <c r="W425" s="4">
        <v>-6</v>
      </c>
      <c r="X425" s="4">
        <v>-2</v>
      </c>
      <c r="Y425" s="4">
        <v>13</v>
      </c>
      <c r="Z425" s="4">
        <v>0</v>
      </c>
      <c r="AA425" s="4">
        <v>0</v>
      </c>
      <c r="AB425" s="4">
        <v>0</v>
      </c>
      <c r="AC425" s="4">
        <v>0</v>
      </c>
      <c r="AD425" s="4"/>
      <c r="AE425" s="54">
        <v>2.1634101867675781E-3</v>
      </c>
      <c r="AF425" s="54">
        <v>0.88937473297119141</v>
      </c>
    </row>
    <row r="426" spans="1:32" x14ac:dyDescent="0.2">
      <c r="A426" s="53" t="s">
        <v>2243</v>
      </c>
      <c r="B426" s="53" t="s">
        <v>2479</v>
      </c>
      <c r="C426" s="54" t="s">
        <v>3231</v>
      </c>
      <c r="D426" s="13" t="s">
        <v>1034</v>
      </c>
      <c r="E426" s="4" t="s">
        <v>1036</v>
      </c>
      <c r="F426" s="4" t="s">
        <v>1035</v>
      </c>
      <c r="G426" s="4" t="s">
        <v>27</v>
      </c>
      <c r="H426" s="4">
        <v>447</v>
      </c>
      <c r="I426" s="5">
        <f t="shared" si="36"/>
        <v>349.04177491256388</v>
      </c>
      <c r="J426" s="4">
        <v>3179</v>
      </c>
      <c r="K426" s="5">
        <f t="shared" si="37"/>
        <v>1716.2511546499393</v>
      </c>
      <c r="L426" s="5">
        <v>0</v>
      </c>
      <c r="M426" s="5">
        <v>0</v>
      </c>
      <c r="N426" s="4">
        <v>0</v>
      </c>
      <c r="O426" s="5">
        <f t="shared" si="38"/>
        <v>0</v>
      </c>
      <c r="P426" s="4">
        <v>0</v>
      </c>
      <c r="Q426" s="4">
        <v>0</v>
      </c>
      <c r="R426" s="4">
        <v>0</v>
      </c>
      <c r="S426" s="5">
        <f t="shared" si="39"/>
        <v>0</v>
      </c>
      <c r="T426" s="5">
        <f t="shared" si="40"/>
        <v>4.9170365211438254</v>
      </c>
      <c r="U426" s="5">
        <f t="shared" si="41"/>
        <v>0</v>
      </c>
      <c r="V426" s="4">
        <v>6</v>
      </c>
      <c r="W426" s="4">
        <v>15</v>
      </c>
      <c r="X426" s="4">
        <v>-11</v>
      </c>
      <c r="Y426" s="4">
        <v>17</v>
      </c>
      <c r="Z426" s="4">
        <v>0</v>
      </c>
      <c r="AA426" s="4">
        <v>0</v>
      </c>
      <c r="AB426" s="4">
        <v>0</v>
      </c>
      <c r="AC426" s="4">
        <v>0</v>
      </c>
      <c r="AD426" s="4"/>
      <c r="AE426" s="54">
        <v>-3.1673908233642578E-3</v>
      </c>
      <c r="AF426" s="54">
        <v>-0.9502374529838562</v>
      </c>
    </row>
    <row r="427" spans="1:32" x14ac:dyDescent="0.2">
      <c r="A427" s="53" t="s">
        <v>2243</v>
      </c>
      <c r="B427" s="53" t="s">
        <v>2472</v>
      </c>
      <c r="C427" s="54" t="s">
        <v>3233</v>
      </c>
      <c r="D427" s="13" t="s">
        <v>1995</v>
      </c>
      <c r="E427" s="4" t="s">
        <v>1997</v>
      </c>
      <c r="F427" s="4" t="s">
        <v>1996</v>
      </c>
      <c r="G427" s="4" t="s">
        <v>27</v>
      </c>
      <c r="H427" s="4">
        <v>576</v>
      </c>
      <c r="I427" s="5">
        <f t="shared" si="36"/>
        <v>449.77195156518297</v>
      </c>
      <c r="J427" s="4">
        <v>5122</v>
      </c>
      <c r="K427" s="5">
        <f t="shared" si="37"/>
        <v>2765.2212689893013</v>
      </c>
      <c r="L427" s="5">
        <v>0</v>
      </c>
      <c r="M427" s="5">
        <v>0</v>
      </c>
      <c r="N427" s="4">
        <v>0</v>
      </c>
      <c r="O427" s="5">
        <f t="shared" si="38"/>
        <v>0</v>
      </c>
      <c r="P427" s="4">
        <v>0</v>
      </c>
      <c r="Q427" s="4">
        <v>0</v>
      </c>
      <c r="R427" s="4">
        <v>0</v>
      </c>
      <c r="S427" s="5">
        <f t="shared" si="39"/>
        <v>0</v>
      </c>
      <c r="T427" s="5">
        <f t="shared" si="40"/>
        <v>6.1480518279685414</v>
      </c>
      <c r="U427" s="5">
        <f t="shared" si="41"/>
        <v>0</v>
      </c>
      <c r="V427" s="4" t="s">
        <v>21</v>
      </c>
      <c r="W427" s="4" t="s">
        <v>21</v>
      </c>
      <c r="X427" s="4" t="s">
        <v>21</v>
      </c>
      <c r="Y427" s="4" t="s">
        <v>21</v>
      </c>
      <c r="Z427" s="10">
        <v>0</v>
      </c>
      <c r="AA427" s="10">
        <v>0</v>
      </c>
      <c r="AB427" s="10">
        <v>0</v>
      </c>
      <c r="AC427" s="10">
        <v>0</v>
      </c>
      <c r="AD427" s="4"/>
      <c r="AE427" s="54">
        <v>2.3674964904785161E-3</v>
      </c>
      <c r="AF427" s="54">
        <v>0.90715432167053223</v>
      </c>
    </row>
    <row r="428" spans="1:32" x14ac:dyDescent="0.2">
      <c r="A428" s="53" t="s">
        <v>2243</v>
      </c>
      <c r="B428" s="53" t="s">
        <v>2469</v>
      </c>
      <c r="C428" s="54" t="s">
        <v>3236</v>
      </c>
      <c r="D428" s="13" t="s">
        <v>85</v>
      </c>
      <c r="E428" s="4" t="s">
        <v>87</v>
      </c>
      <c r="F428" s="4" t="s">
        <v>86</v>
      </c>
      <c r="G428" s="4" t="s">
        <v>27</v>
      </c>
      <c r="H428" s="4">
        <v>259</v>
      </c>
      <c r="I428" s="5">
        <f t="shared" si="36"/>
        <v>202.24120738781664</v>
      </c>
      <c r="J428" s="4">
        <v>2990</v>
      </c>
      <c r="K428" s="5">
        <f t="shared" si="37"/>
        <v>1614.2154615927393</v>
      </c>
      <c r="L428" s="5">
        <v>0</v>
      </c>
      <c r="M428" s="5">
        <v>0</v>
      </c>
      <c r="N428" s="4">
        <v>0</v>
      </c>
      <c r="O428" s="5">
        <f t="shared" si="38"/>
        <v>0</v>
      </c>
      <c r="P428" s="4">
        <v>0</v>
      </c>
      <c r="Q428" s="4">
        <v>0</v>
      </c>
      <c r="R428" s="4">
        <v>0</v>
      </c>
      <c r="S428" s="5">
        <f t="shared" si="39"/>
        <v>0</v>
      </c>
      <c r="T428" s="5">
        <f t="shared" si="40"/>
        <v>7.9816348134103476</v>
      </c>
      <c r="U428" s="5">
        <f t="shared" si="41"/>
        <v>0</v>
      </c>
      <c r="V428" s="4">
        <v>49</v>
      </c>
      <c r="W428" s="4">
        <v>-12</v>
      </c>
      <c r="X428" s="4">
        <v>49</v>
      </c>
      <c r="Y428" s="4">
        <v>-38</v>
      </c>
      <c r="Z428" s="4">
        <v>0</v>
      </c>
      <c r="AA428" s="4">
        <v>0</v>
      </c>
      <c r="AB428" s="4">
        <v>0.02</v>
      </c>
      <c r="AC428" s="4">
        <v>0</v>
      </c>
      <c r="AD428" s="4"/>
      <c r="AE428" s="54">
        <v>1.0855197906494141E-3</v>
      </c>
      <c r="AF428" s="54">
        <v>0.71053868532180786</v>
      </c>
    </row>
    <row r="429" spans="1:32" x14ac:dyDescent="0.2">
      <c r="A429" s="53" t="s">
        <v>2243</v>
      </c>
      <c r="B429" s="53" t="s">
        <v>2468</v>
      </c>
      <c r="C429" s="54" t="s">
        <v>3237</v>
      </c>
      <c r="D429" s="13" t="s">
        <v>139</v>
      </c>
      <c r="E429" s="4" t="s">
        <v>141</v>
      </c>
      <c r="F429" s="4" t="s">
        <v>140</v>
      </c>
      <c r="G429" s="4" t="s">
        <v>27</v>
      </c>
      <c r="H429" s="4">
        <v>244</v>
      </c>
      <c r="I429" s="5">
        <f t="shared" si="36"/>
        <v>190.52839614914001</v>
      </c>
      <c r="J429" s="4">
        <v>1807</v>
      </c>
      <c r="K429" s="5">
        <f t="shared" si="37"/>
        <v>975.54760504952515</v>
      </c>
      <c r="L429" s="5">
        <v>0</v>
      </c>
      <c r="M429" s="5">
        <v>0</v>
      </c>
      <c r="N429" s="4">
        <v>0</v>
      </c>
      <c r="O429" s="5">
        <f t="shared" si="38"/>
        <v>0</v>
      </c>
      <c r="P429" s="4">
        <v>0</v>
      </c>
      <c r="Q429" s="4">
        <v>0</v>
      </c>
      <c r="R429" s="4">
        <v>0</v>
      </c>
      <c r="S429" s="5">
        <f t="shared" si="39"/>
        <v>0</v>
      </c>
      <c r="T429" s="5">
        <f t="shared" si="40"/>
        <v>5.120221577291268</v>
      </c>
      <c r="U429" s="5">
        <f t="shared" si="41"/>
        <v>0</v>
      </c>
      <c r="V429" s="4">
        <v>23</v>
      </c>
      <c r="W429" s="4">
        <v>-6</v>
      </c>
      <c r="X429" s="4">
        <v>-46</v>
      </c>
      <c r="Y429" s="4">
        <v>-5</v>
      </c>
      <c r="Z429" s="4">
        <v>0.02</v>
      </c>
      <c r="AA429" s="4">
        <v>0</v>
      </c>
      <c r="AB429" s="4">
        <v>0</v>
      </c>
      <c r="AC429" s="4">
        <v>0</v>
      </c>
      <c r="AD429" s="4"/>
      <c r="AE429" s="54">
        <v>1.621246337890625E-5</v>
      </c>
      <c r="AF429" s="54">
        <v>8.057684451341629E-2</v>
      </c>
    </row>
    <row r="430" spans="1:32" x14ac:dyDescent="0.2">
      <c r="A430" s="53" t="s">
        <v>2243</v>
      </c>
      <c r="B430" s="53" t="s">
        <v>2467</v>
      </c>
      <c r="C430" s="54" t="s">
        <v>3238</v>
      </c>
      <c r="D430" s="13" t="s">
        <v>1022</v>
      </c>
      <c r="E430" s="4" t="s">
        <v>1024</v>
      </c>
      <c r="F430" s="4" t="s">
        <v>1023</v>
      </c>
      <c r="G430" s="4" t="s">
        <v>27</v>
      </c>
      <c r="H430" s="4">
        <v>967</v>
      </c>
      <c r="I430" s="5">
        <f t="shared" si="36"/>
        <v>755.08589785335403</v>
      </c>
      <c r="J430" s="4">
        <v>3468</v>
      </c>
      <c r="K430" s="5">
        <f t="shared" si="37"/>
        <v>1872.2739868908429</v>
      </c>
      <c r="L430" s="5">
        <v>0</v>
      </c>
      <c r="M430" s="5">
        <v>0</v>
      </c>
      <c r="N430" s="4">
        <v>0</v>
      </c>
      <c r="O430" s="5">
        <f t="shared" si="38"/>
        <v>0</v>
      </c>
      <c r="P430" s="4">
        <v>0</v>
      </c>
      <c r="Q430" s="4">
        <v>0</v>
      </c>
      <c r="R430" s="4">
        <v>0</v>
      </c>
      <c r="S430" s="5">
        <f t="shared" si="39"/>
        <v>0</v>
      </c>
      <c r="T430" s="5">
        <f t="shared" si="40"/>
        <v>2.4795509917660508</v>
      </c>
      <c r="U430" s="5">
        <f t="shared" si="41"/>
        <v>0</v>
      </c>
      <c r="V430" s="4">
        <v>-48</v>
      </c>
      <c r="W430" s="4">
        <v>-2</v>
      </c>
      <c r="X430" s="4">
        <v>-17</v>
      </c>
      <c r="Y430" s="4">
        <v>16</v>
      </c>
      <c r="Z430" s="4">
        <v>0</v>
      </c>
      <c r="AA430" s="4">
        <v>0</v>
      </c>
      <c r="AB430" s="4">
        <v>0</v>
      </c>
      <c r="AC430" s="4">
        <v>0</v>
      </c>
      <c r="AD430" s="4"/>
      <c r="AE430" s="54">
        <v>-1.096725463867188E-4</v>
      </c>
      <c r="AF430" s="54">
        <v>-0.21573995053768161</v>
      </c>
    </row>
    <row r="431" spans="1:32" x14ac:dyDescent="0.2">
      <c r="A431" s="53" t="s">
        <v>2243</v>
      </c>
      <c r="B431" s="53" t="s">
        <v>2466</v>
      </c>
      <c r="C431" s="54" t="s">
        <v>3239</v>
      </c>
      <c r="D431" s="13" t="s">
        <v>560</v>
      </c>
      <c r="E431" s="4" t="s">
        <v>562</v>
      </c>
      <c r="F431" s="4" t="s">
        <v>561</v>
      </c>
      <c r="G431" s="4" t="s">
        <v>27</v>
      </c>
      <c r="H431" s="4">
        <v>732</v>
      </c>
      <c r="I431" s="5">
        <f t="shared" si="36"/>
        <v>571.58518844742002</v>
      </c>
      <c r="J431" s="4">
        <v>2068</v>
      </c>
      <c r="K431" s="5">
        <f t="shared" si="37"/>
        <v>1116.4540383189917</v>
      </c>
      <c r="L431" s="5">
        <v>0</v>
      </c>
      <c r="M431" s="5">
        <v>0</v>
      </c>
      <c r="N431" s="4">
        <v>0</v>
      </c>
      <c r="O431" s="5">
        <f t="shared" si="38"/>
        <v>0</v>
      </c>
      <c r="P431" s="4">
        <v>0</v>
      </c>
      <c r="Q431" s="4">
        <v>0</v>
      </c>
      <c r="R431" s="4">
        <v>0</v>
      </c>
      <c r="S431" s="5">
        <f t="shared" si="39"/>
        <v>0</v>
      </c>
      <c r="T431" s="5">
        <f t="shared" si="40"/>
        <v>1.953259218195599</v>
      </c>
      <c r="U431" s="5">
        <f t="shared" si="41"/>
        <v>0</v>
      </c>
      <c r="V431" s="4">
        <v>38</v>
      </c>
      <c r="W431" s="4">
        <v>-13</v>
      </c>
      <c r="X431" s="4">
        <v>-28</v>
      </c>
      <c r="Y431" s="4">
        <v>18</v>
      </c>
      <c r="Z431" s="4">
        <v>0</v>
      </c>
      <c r="AA431" s="4">
        <v>0</v>
      </c>
      <c r="AB431" s="4">
        <v>0</v>
      </c>
      <c r="AC431" s="4">
        <v>0</v>
      </c>
      <c r="AD431" s="4"/>
      <c r="AE431" s="54">
        <v>8.0585479736328125E-5</v>
      </c>
      <c r="AF431" s="54">
        <v>0.1936357319355011</v>
      </c>
    </row>
    <row r="432" spans="1:32" x14ac:dyDescent="0.2">
      <c r="A432" s="53" t="s">
        <v>2243</v>
      </c>
      <c r="B432" s="53" t="s">
        <v>2464</v>
      </c>
      <c r="C432" s="54" t="s">
        <v>3241</v>
      </c>
      <c r="D432" s="13" t="s">
        <v>1815</v>
      </c>
      <c r="E432" s="4" t="s">
        <v>1817</v>
      </c>
      <c r="F432" s="4" t="s">
        <v>1816</v>
      </c>
      <c r="G432" s="4" t="s">
        <v>27</v>
      </c>
      <c r="H432" s="4">
        <v>1868</v>
      </c>
      <c r="I432" s="5">
        <f t="shared" si="36"/>
        <v>1458.635426256531</v>
      </c>
      <c r="J432" s="4">
        <v>2114</v>
      </c>
      <c r="K432" s="5">
        <f t="shared" si="37"/>
        <v>1141.2881223434954</v>
      </c>
      <c r="L432" s="5">
        <v>0</v>
      </c>
      <c r="M432" s="5">
        <v>0</v>
      </c>
      <c r="N432" s="4">
        <v>0</v>
      </c>
      <c r="O432" s="5">
        <f t="shared" si="38"/>
        <v>0</v>
      </c>
      <c r="P432" s="4">
        <v>0</v>
      </c>
      <c r="Q432" s="4">
        <v>0</v>
      </c>
      <c r="R432" s="4">
        <v>0</v>
      </c>
      <c r="S432" s="5">
        <f t="shared" si="39"/>
        <v>0</v>
      </c>
      <c r="T432" s="5">
        <f t="shared" si="40"/>
        <v>0.78243548853911937</v>
      </c>
      <c r="U432" s="5">
        <f t="shared" si="41"/>
        <v>0</v>
      </c>
      <c r="V432" s="4">
        <v>-46</v>
      </c>
      <c r="W432" s="4">
        <v>4</v>
      </c>
      <c r="X432" s="4">
        <v>-46</v>
      </c>
      <c r="Y432" s="4">
        <v>45</v>
      </c>
      <c r="Z432" s="4">
        <v>0</v>
      </c>
      <c r="AA432" s="4">
        <v>0</v>
      </c>
      <c r="AB432" s="4">
        <v>0</v>
      </c>
      <c r="AC432" s="4">
        <v>0</v>
      </c>
      <c r="AD432" s="4"/>
      <c r="AE432" s="54">
        <v>4.3225288391113281E-4</v>
      </c>
      <c r="AF432" s="54">
        <v>0.4590030312538147</v>
      </c>
    </row>
    <row r="433" spans="1:32" x14ac:dyDescent="0.2">
      <c r="A433" s="53" t="s">
        <v>2243</v>
      </c>
      <c r="B433" s="53" t="s">
        <v>2462</v>
      </c>
      <c r="C433" s="54" t="s">
        <v>3242</v>
      </c>
      <c r="D433" s="13" t="s">
        <v>28</v>
      </c>
      <c r="E433" s="4" t="s">
        <v>30</v>
      </c>
      <c r="F433" s="4" t="s">
        <v>29</v>
      </c>
      <c r="G433" s="4" t="s">
        <v>27</v>
      </c>
      <c r="H433" s="4">
        <v>137</v>
      </c>
      <c r="I433" s="5">
        <f t="shared" si="36"/>
        <v>106.97700931324664</v>
      </c>
      <c r="J433" s="4">
        <v>1241</v>
      </c>
      <c r="K433" s="5">
        <f t="shared" si="37"/>
        <v>669.98039726976242</v>
      </c>
      <c r="L433" s="5">
        <v>0</v>
      </c>
      <c r="M433" s="5">
        <v>1</v>
      </c>
      <c r="N433" s="4">
        <v>0</v>
      </c>
      <c r="O433" s="5">
        <f t="shared" si="38"/>
        <v>0.33333333333333331</v>
      </c>
      <c r="P433" s="4">
        <v>0</v>
      </c>
      <c r="Q433" s="4">
        <v>0</v>
      </c>
      <c r="R433" s="4">
        <v>0</v>
      </c>
      <c r="S433" s="5">
        <f t="shared" si="39"/>
        <v>0</v>
      </c>
      <c r="T433" s="5">
        <f t="shared" si="40"/>
        <v>6.2628447137454311</v>
      </c>
      <c r="U433" s="5">
        <f t="shared" si="41"/>
        <v>0</v>
      </c>
      <c r="V433" s="4">
        <v>-1</v>
      </c>
      <c r="W433" s="4">
        <v>-38</v>
      </c>
      <c r="X433" s="4">
        <v>-1</v>
      </c>
      <c r="Y433" s="4">
        <v>-38</v>
      </c>
      <c r="Z433" s="4">
        <v>0</v>
      </c>
      <c r="AA433" s="4">
        <v>0</v>
      </c>
      <c r="AB433" s="4" t="s">
        <v>21</v>
      </c>
      <c r="AC433" s="4" t="s">
        <v>21</v>
      </c>
      <c r="AD433" s="4"/>
      <c r="AE433" s="54">
        <v>2.4015903472900391E-3</v>
      </c>
      <c r="AF433" s="54">
        <v>0.90917575359344482</v>
      </c>
    </row>
    <row r="434" spans="1:32" x14ac:dyDescent="0.2">
      <c r="A434" s="53" t="s">
        <v>2243</v>
      </c>
      <c r="B434" s="53" t="s">
        <v>2473</v>
      </c>
      <c r="C434" s="54" t="s">
        <v>3243</v>
      </c>
      <c r="D434" s="13" t="s">
        <v>1634</v>
      </c>
      <c r="E434" s="4" t="s">
        <v>1636</v>
      </c>
      <c r="F434" s="4" t="s">
        <v>1635</v>
      </c>
      <c r="G434" s="4" t="s">
        <v>27</v>
      </c>
      <c r="H434" s="4">
        <v>1711</v>
      </c>
      <c r="I434" s="5">
        <f t="shared" si="36"/>
        <v>1336.0413352917155</v>
      </c>
      <c r="J434" s="4">
        <v>1925</v>
      </c>
      <c r="K434" s="5">
        <f t="shared" si="37"/>
        <v>1039.2524292862954</v>
      </c>
      <c r="L434" s="5">
        <v>0</v>
      </c>
      <c r="M434" s="5">
        <v>0</v>
      </c>
      <c r="N434" s="4">
        <v>0</v>
      </c>
      <c r="O434" s="5">
        <f t="shared" si="38"/>
        <v>0</v>
      </c>
      <c r="P434" s="4">
        <v>0</v>
      </c>
      <c r="Q434" s="4">
        <v>0</v>
      </c>
      <c r="R434" s="4">
        <v>0</v>
      </c>
      <c r="S434" s="5">
        <f t="shared" si="39"/>
        <v>0</v>
      </c>
      <c r="T434" s="5">
        <f t="shared" si="40"/>
        <v>0.77785948820167428</v>
      </c>
      <c r="U434" s="5">
        <f t="shared" si="41"/>
        <v>0</v>
      </c>
      <c r="V434" s="4">
        <v>10</v>
      </c>
      <c r="W434" s="4">
        <v>-8</v>
      </c>
      <c r="X434" s="4">
        <v>7</v>
      </c>
      <c r="Y434" s="4">
        <v>11</v>
      </c>
      <c r="Z434" s="10">
        <v>0</v>
      </c>
      <c r="AA434" s="10">
        <v>0</v>
      </c>
      <c r="AB434" s="10">
        <v>0</v>
      </c>
      <c r="AC434" s="10">
        <v>0</v>
      </c>
      <c r="AD434" s="4"/>
      <c r="AE434" s="54">
        <v>-2.0303726196289058E-3</v>
      </c>
      <c r="AF434" s="54">
        <v>-0.8739849328994751</v>
      </c>
    </row>
    <row r="435" spans="1:32" x14ac:dyDescent="0.2">
      <c r="A435" s="53" t="s">
        <v>2243</v>
      </c>
      <c r="B435" s="53" t="s">
        <v>2463</v>
      </c>
      <c r="C435" s="54" t="s">
        <v>3244</v>
      </c>
      <c r="D435" s="13" t="s">
        <v>557</v>
      </c>
      <c r="E435" s="4" t="s">
        <v>559</v>
      </c>
      <c r="F435" s="4" t="s">
        <v>558</v>
      </c>
      <c r="G435" s="4" t="s">
        <v>27</v>
      </c>
      <c r="H435" s="4">
        <v>499</v>
      </c>
      <c r="I435" s="5">
        <f t="shared" si="36"/>
        <v>389.64618720664288</v>
      </c>
      <c r="J435" s="4">
        <v>5175</v>
      </c>
      <c r="K435" s="5">
        <f t="shared" si="37"/>
        <v>2793.8344527566646</v>
      </c>
      <c r="L435" s="5">
        <v>0</v>
      </c>
      <c r="M435" s="5">
        <v>0</v>
      </c>
      <c r="N435" s="4">
        <v>0</v>
      </c>
      <c r="O435" s="5">
        <f t="shared" si="38"/>
        <v>0</v>
      </c>
      <c r="P435" s="4">
        <v>0</v>
      </c>
      <c r="Q435" s="4">
        <v>0</v>
      </c>
      <c r="R435" s="4">
        <v>0</v>
      </c>
      <c r="S435" s="5">
        <f t="shared" si="39"/>
        <v>0</v>
      </c>
      <c r="T435" s="5">
        <f t="shared" si="40"/>
        <v>7.1701829621009416</v>
      </c>
      <c r="U435" s="5">
        <f t="shared" si="41"/>
        <v>0</v>
      </c>
      <c r="V435" s="4">
        <v>-4</v>
      </c>
      <c r="W435" s="4">
        <v>50</v>
      </c>
      <c r="X435" s="4">
        <v>2</v>
      </c>
      <c r="Y435" s="4">
        <v>-45</v>
      </c>
      <c r="Z435" s="4">
        <v>0</v>
      </c>
      <c r="AA435" s="4">
        <v>0</v>
      </c>
      <c r="AB435" s="4">
        <v>0</v>
      </c>
      <c r="AC435" s="4">
        <v>0</v>
      </c>
      <c r="AD435" s="4"/>
      <c r="AE435" s="54">
        <v>-1.038789749145508E-3</v>
      </c>
      <c r="AF435" s="54">
        <v>-0.69297832250595093</v>
      </c>
    </row>
    <row r="436" spans="1:32" x14ac:dyDescent="0.2">
      <c r="A436" s="53" t="s">
        <v>2243</v>
      </c>
      <c r="B436" s="53" t="s">
        <v>2457</v>
      </c>
      <c r="C436" s="54" t="s">
        <v>3245</v>
      </c>
      <c r="D436" s="13" t="s">
        <v>1013</v>
      </c>
      <c r="E436" s="4" t="s">
        <v>1015</v>
      </c>
      <c r="F436" s="4" t="s">
        <v>1014</v>
      </c>
      <c r="G436" s="4" t="s">
        <v>27</v>
      </c>
      <c r="H436" s="4">
        <v>3049</v>
      </c>
      <c r="I436" s="5">
        <f t="shared" si="36"/>
        <v>2380.8240977816718</v>
      </c>
      <c r="J436" s="4">
        <v>1941</v>
      </c>
      <c r="K436" s="5">
        <f t="shared" si="37"/>
        <v>1047.890371555688</v>
      </c>
      <c r="L436" s="5">
        <v>0</v>
      </c>
      <c r="M436" s="5">
        <v>0</v>
      </c>
      <c r="N436" s="4">
        <v>0</v>
      </c>
      <c r="O436" s="5">
        <f t="shared" si="38"/>
        <v>0</v>
      </c>
      <c r="P436" s="4">
        <v>0</v>
      </c>
      <c r="Q436" s="4">
        <v>0</v>
      </c>
      <c r="R436" s="4">
        <v>0</v>
      </c>
      <c r="S436" s="5">
        <f t="shared" si="39"/>
        <v>0</v>
      </c>
      <c r="T436" s="5">
        <f t="shared" si="40"/>
        <v>0.44013767020085937</v>
      </c>
      <c r="U436" s="5">
        <f t="shared" si="41"/>
        <v>0</v>
      </c>
      <c r="V436" s="4">
        <v>-17</v>
      </c>
      <c r="W436" s="4">
        <v>-16</v>
      </c>
      <c r="X436" s="4">
        <v>-38</v>
      </c>
      <c r="Y436" s="4">
        <v>-15</v>
      </c>
      <c r="Z436" s="4">
        <v>0</v>
      </c>
      <c r="AA436" s="4">
        <v>0</v>
      </c>
      <c r="AB436" s="4">
        <v>0</v>
      </c>
      <c r="AC436" s="4">
        <v>0</v>
      </c>
      <c r="AD436" s="4"/>
      <c r="AE436" s="54">
        <v>-4.0466785430908203E-3</v>
      </c>
      <c r="AF436" s="54">
        <v>-0.97478067874908447</v>
      </c>
    </row>
    <row r="437" spans="1:32" x14ac:dyDescent="0.2">
      <c r="A437" s="53" t="s">
        <v>2243</v>
      </c>
      <c r="B437" s="53" t="s">
        <v>2461</v>
      </c>
      <c r="C437" s="54" t="s">
        <v>3246</v>
      </c>
      <c r="D437" s="13" t="s">
        <v>554</v>
      </c>
      <c r="E437" s="4" t="s">
        <v>556</v>
      </c>
      <c r="F437" s="4" t="s">
        <v>555</v>
      </c>
      <c r="G437" s="4" t="s">
        <v>27</v>
      </c>
      <c r="H437" s="4">
        <v>1568</v>
      </c>
      <c r="I437" s="5">
        <f t="shared" si="36"/>
        <v>1224.379201482998</v>
      </c>
      <c r="J437" s="4">
        <v>2635</v>
      </c>
      <c r="K437" s="5">
        <f t="shared" si="37"/>
        <v>1422.5611174905914</v>
      </c>
      <c r="L437" s="5">
        <v>0</v>
      </c>
      <c r="M437" s="5">
        <v>0</v>
      </c>
      <c r="N437" s="4">
        <v>0</v>
      </c>
      <c r="O437" s="5">
        <f t="shared" si="38"/>
        <v>0</v>
      </c>
      <c r="P437" s="4">
        <v>0</v>
      </c>
      <c r="Q437" s="4">
        <v>0</v>
      </c>
      <c r="R437" s="4">
        <v>0</v>
      </c>
      <c r="S437" s="5">
        <f t="shared" si="39"/>
        <v>0</v>
      </c>
      <c r="T437" s="5">
        <f t="shared" si="40"/>
        <v>1.161863184026281</v>
      </c>
      <c r="U437" s="5">
        <f t="shared" si="41"/>
        <v>0</v>
      </c>
      <c r="V437" s="4" t="s">
        <v>21</v>
      </c>
      <c r="W437" s="4" t="s">
        <v>21</v>
      </c>
      <c r="X437" s="4" t="s">
        <v>21</v>
      </c>
      <c r="Y437" s="4" t="s">
        <v>21</v>
      </c>
      <c r="Z437" s="4">
        <v>0</v>
      </c>
      <c r="AA437" s="4">
        <v>0</v>
      </c>
      <c r="AB437" s="4">
        <v>0</v>
      </c>
      <c r="AC437" s="4">
        <v>0</v>
      </c>
      <c r="AD437" s="4"/>
      <c r="AE437" s="54">
        <v>-3.7789344787597662E-4</v>
      </c>
      <c r="AF437" s="54">
        <v>-0.41229036450386047</v>
      </c>
    </row>
    <row r="438" spans="1:32" x14ac:dyDescent="0.2">
      <c r="A438" s="53" t="s">
        <v>2243</v>
      </c>
      <c r="B438" s="53" t="s">
        <v>2456</v>
      </c>
      <c r="C438" s="54" t="s">
        <v>3247</v>
      </c>
      <c r="D438" s="13" t="s">
        <v>1497</v>
      </c>
      <c r="E438" s="4" t="s">
        <v>1499</v>
      </c>
      <c r="F438" s="4" t="s">
        <v>1498</v>
      </c>
      <c r="G438" s="4" t="s">
        <v>27</v>
      </c>
      <c r="H438" s="4">
        <v>1109</v>
      </c>
      <c r="I438" s="5">
        <f t="shared" si="36"/>
        <v>865.96717757949295</v>
      </c>
      <c r="J438" s="4">
        <v>1219</v>
      </c>
      <c r="K438" s="5">
        <f t="shared" si="37"/>
        <v>658.10322664934756</v>
      </c>
      <c r="L438" s="5">
        <v>0</v>
      </c>
      <c r="M438" s="5">
        <v>0</v>
      </c>
      <c r="N438" s="4">
        <v>0</v>
      </c>
      <c r="O438" s="5">
        <f t="shared" si="38"/>
        <v>0</v>
      </c>
      <c r="P438" s="4">
        <v>0</v>
      </c>
      <c r="Q438" s="4">
        <v>0</v>
      </c>
      <c r="R438" s="4">
        <v>0</v>
      </c>
      <c r="S438" s="5">
        <f t="shared" si="39"/>
        <v>0</v>
      </c>
      <c r="T438" s="5">
        <f t="shared" si="40"/>
        <v>0.75996324536091997</v>
      </c>
      <c r="U438" s="5">
        <f t="shared" si="41"/>
        <v>0</v>
      </c>
      <c r="V438" s="4">
        <v>-4</v>
      </c>
      <c r="W438" s="4">
        <v>-12</v>
      </c>
      <c r="X438" s="4">
        <v>3</v>
      </c>
      <c r="Y438" s="4">
        <v>-12</v>
      </c>
      <c r="Z438" s="4">
        <v>0</v>
      </c>
      <c r="AA438" s="4">
        <v>0</v>
      </c>
      <c r="AB438" s="4">
        <v>0</v>
      </c>
      <c r="AC438" s="4">
        <v>0</v>
      </c>
      <c r="AD438" s="4"/>
      <c r="AE438" s="54">
        <v>7.6818466186523438E-4</v>
      </c>
      <c r="AF438" s="54">
        <v>0.60670804977416992</v>
      </c>
    </row>
    <row r="439" spans="1:32" x14ac:dyDescent="0.2">
      <c r="A439" s="53" t="s">
        <v>2243</v>
      </c>
      <c r="B439" s="53" t="s">
        <v>2458</v>
      </c>
      <c r="C439" s="54" t="s">
        <v>3248</v>
      </c>
      <c r="D439" s="13" t="s">
        <v>1812</v>
      </c>
      <c r="E439" s="4" t="s">
        <v>1814</v>
      </c>
      <c r="F439" s="4" t="s">
        <v>1813</v>
      </c>
      <c r="G439" s="4" t="s">
        <v>27</v>
      </c>
      <c r="H439" s="4">
        <v>527</v>
      </c>
      <c r="I439" s="5">
        <f t="shared" si="36"/>
        <v>411.51010151883924</v>
      </c>
      <c r="J439" s="4">
        <v>1810</v>
      </c>
      <c r="K439" s="5">
        <f t="shared" si="37"/>
        <v>977.16721922503632</v>
      </c>
      <c r="L439" s="5">
        <v>0</v>
      </c>
      <c r="M439" s="5">
        <v>1</v>
      </c>
      <c r="N439" s="4">
        <v>0</v>
      </c>
      <c r="O439" s="5">
        <f t="shared" si="38"/>
        <v>0.33333333333333331</v>
      </c>
      <c r="P439" s="4">
        <v>0</v>
      </c>
      <c r="Q439" s="4">
        <v>0</v>
      </c>
      <c r="R439" s="4">
        <v>0</v>
      </c>
      <c r="S439" s="5">
        <f t="shared" si="39"/>
        <v>0</v>
      </c>
      <c r="T439" s="5">
        <f t="shared" si="40"/>
        <v>2.3745886567994758</v>
      </c>
      <c r="U439" s="5">
        <f t="shared" si="41"/>
        <v>0</v>
      </c>
      <c r="V439" s="4">
        <v>-26</v>
      </c>
      <c r="W439" s="4">
        <v>-16</v>
      </c>
      <c r="X439" s="4">
        <v>-26</v>
      </c>
      <c r="Y439" s="4">
        <v>1</v>
      </c>
      <c r="Z439" s="4">
        <v>0</v>
      </c>
      <c r="AA439" s="4">
        <v>0</v>
      </c>
      <c r="AB439" s="4">
        <v>0</v>
      </c>
      <c r="AC439" s="4">
        <v>0</v>
      </c>
      <c r="AD439" s="4"/>
      <c r="AE439" s="54">
        <v>-2.9079914093017578E-3</v>
      </c>
      <c r="AF439" s="54">
        <v>-0.93910294771194458</v>
      </c>
    </row>
    <row r="440" spans="1:32" x14ac:dyDescent="0.2">
      <c r="A440" s="53" t="s">
        <v>2243</v>
      </c>
      <c r="B440" s="53" t="s">
        <v>2459</v>
      </c>
      <c r="C440" s="54" t="s">
        <v>3249</v>
      </c>
      <c r="D440" s="13" t="s">
        <v>1016</v>
      </c>
      <c r="E440" s="4" t="s">
        <v>1018</v>
      </c>
      <c r="F440" s="4" t="s">
        <v>1017</v>
      </c>
      <c r="G440" s="4" t="s">
        <v>27</v>
      </c>
      <c r="H440" s="4">
        <v>1790</v>
      </c>
      <c r="I440" s="5">
        <f t="shared" si="36"/>
        <v>1397.7288078154124</v>
      </c>
      <c r="J440" s="4">
        <v>2054</v>
      </c>
      <c r="K440" s="5">
        <f t="shared" si="37"/>
        <v>1108.8958388332733</v>
      </c>
      <c r="L440" s="5">
        <v>0</v>
      </c>
      <c r="M440" s="5">
        <v>0</v>
      </c>
      <c r="N440" s="4">
        <v>0</v>
      </c>
      <c r="O440" s="5">
        <f t="shared" si="38"/>
        <v>0</v>
      </c>
      <c r="P440" s="4">
        <v>0</v>
      </c>
      <c r="Q440" s="4">
        <v>0</v>
      </c>
      <c r="R440" s="4">
        <v>0</v>
      </c>
      <c r="S440" s="5">
        <f t="shared" si="39"/>
        <v>0</v>
      </c>
      <c r="T440" s="5">
        <f t="shared" si="40"/>
        <v>0.79335550117653209</v>
      </c>
      <c r="U440" s="5">
        <f t="shared" si="41"/>
        <v>0</v>
      </c>
      <c r="V440" s="4">
        <v>-35</v>
      </c>
      <c r="W440" s="4">
        <v>-36</v>
      </c>
      <c r="X440" s="4">
        <v>-35</v>
      </c>
      <c r="Y440" s="4">
        <v>-36</v>
      </c>
      <c r="Z440" s="4">
        <v>0</v>
      </c>
      <c r="AA440" s="4">
        <v>0</v>
      </c>
      <c r="AB440" s="4">
        <v>0</v>
      </c>
      <c r="AC440" s="4">
        <v>0</v>
      </c>
      <c r="AD440" s="4"/>
      <c r="AE440" s="54">
        <v>3.7431716918945312E-5</v>
      </c>
      <c r="AF440" s="54">
        <v>0.13755430281162259</v>
      </c>
    </row>
    <row r="441" spans="1:32" x14ac:dyDescent="0.2">
      <c r="A441" s="53" t="s">
        <v>2243</v>
      </c>
      <c r="B441" s="53" t="s">
        <v>2460</v>
      </c>
      <c r="C441" s="54" t="s">
        <v>3250</v>
      </c>
      <c r="D441" s="13" t="s">
        <v>202</v>
      </c>
      <c r="E441" s="4" t="s">
        <v>204</v>
      </c>
      <c r="F441" s="4" t="s">
        <v>203</v>
      </c>
      <c r="G441" s="4" t="s">
        <v>27</v>
      </c>
      <c r="H441" s="4">
        <v>2875</v>
      </c>
      <c r="I441" s="5">
        <f t="shared" si="36"/>
        <v>2244.9554874130226</v>
      </c>
      <c r="J441" s="4">
        <v>900</v>
      </c>
      <c r="K441" s="5">
        <f t="shared" si="37"/>
        <v>485.88425265333296</v>
      </c>
      <c r="L441" s="5">
        <v>0</v>
      </c>
      <c r="M441" s="5">
        <v>0</v>
      </c>
      <c r="N441" s="4">
        <v>0</v>
      </c>
      <c r="O441" s="5">
        <f t="shared" si="38"/>
        <v>0</v>
      </c>
      <c r="P441" s="4">
        <v>0</v>
      </c>
      <c r="Q441" s="4">
        <v>0</v>
      </c>
      <c r="R441" s="4">
        <v>0</v>
      </c>
      <c r="S441" s="5">
        <f t="shared" si="39"/>
        <v>0</v>
      </c>
      <c r="T441" s="5">
        <f t="shared" si="40"/>
        <v>0.21643380253086547</v>
      </c>
      <c r="U441" s="5">
        <f t="shared" si="41"/>
        <v>0</v>
      </c>
      <c r="V441" s="4">
        <v>-2</v>
      </c>
      <c r="W441" s="4">
        <v>5</v>
      </c>
      <c r="X441" s="4">
        <v>50</v>
      </c>
      <c r="Y441" s="4">
        <v>5</v>
      </c>
      <c r="Z441" s="4">
        <v>0</v>
      </c>
      <c r="AA441" s="4">
        <v>0.02</v>
      </c>
      <c r="AB441" s="4">
        <v>0</v>
      </c>
      <c r="AC441" s="4">
        <v>0</v>
      </c>
      <c r="AD441" s="4"/>
      <c r="AE441" s="54">
        <v>3.347396850585938E-4</v>
      </c>
      <c r="AF441" s="54">
        <v>0.40266996622085571</v>
      </c>
    </row>
    <row r="442" spans="1:32" x14ac:dyDescent="0.2">
      <c r="A442" s="53" t="s">
        <v>2243</v>
      </c>
      <c r="B442" s="53" t="s">
        <v>2453</v>
      </c>
      <c r="C442" s="54" t="s">
        <v>3251</v>
      </c>
      <c r="D442" s="13" t="s">
        <v>1809</v>
      </c>
      <c r="E442" s="4" t="s">
        <v>1811</v>
      </c>
      <c r="F442" s="4" t="s">
        <v>1810</v>
      </c>
      <c r="G442" s="4" t="s">
        <v>27</v>
      </c>
      <c r="H442" s="4">
        <v>3484</v>
      </c>
      <c r="I442" s="5">
        <f t="shared" si="36"/>
        <v>2720.4956237032943</v>
      </c>
      <c r="J442" s="4">
        <v>456</v>
      </c>
      <c r="K442" s="5">
        <f t="shared" si="37"/>
        <v>246.18135467768869</v>
      </c>
      <c r="L442" s="5">
        <v>0</v>
      </c>
      <c r="M442" s="5">
        <v>0</v>
      </c>
      <c r="N442" s="4">
        <v>0</v>
      </c>
      <c r="O442" s="5">
        <f t="shared" si="38"/>
        <v>0</v>
      </c>
      <c r="P442" s="4">
        <v>0</v>
      </c>
      <c r="Q442" s="4">
        <v>0</v>
      </c>
      <c r="R442" s="4">
        <v>0</v>
      </c>
      <c r="S442" s="5">
        <f t="shared" si="39"/>
        <v>0</v>
      </c>
      <c r="T442" s="5">
        <f t="shared" si="40"/>
        <v>9.0491362137378684E-2</v>
      </c>
      <c r="U442" s="5">
        <f t="shared" si="41"/>
        <v>0</v>
      </c>
      <c r="V442" s="4">
        <v>-2</v>
      </c>
      <c r="W442" s="4">
        <v>12</v>
      </c>
      <c r="X442" s="4">
        <v>12</v>
      </c>
      <c r="Y442" s="4">
        <v>10</v>
      </c>
      <c r="Z442" s="4">
        <v>0</v>
      </c>
      <c r="AA442" s="4">
        <v>0</v>
      </c>
      <c r="AB442" s="4">
        <v>0</v>
      </c>
      <c r="AC442" s="4">
        <v>0</v>
      </c>
      <c r="AD442" s="4"/>
      <c r="AE442" s="54">
        <v>-1.9900798797607418E-2</v>
      </c>
      <c r="AF442" s="54">
        <v>-0.99933332204818726</v>
      </c>
    </row>
    <row r="443" spans="1:32" x14ac:dyDescent="0.2">
      <c r="A443" s="53" t="s">
        <v>2243</v>
      </c>
      <c r="B443" s="53" t="s">
        <v>2452</v>
      </c>
      <c r="C443" s="54" t="s">
        <v>3252</v>
      </c>
      <c r="D443" s="13" t="s">
        <v>1631</v>
      </c>
      <c r="E443" s="4" t="s">
        <v>1633</v>
      </c>
      <c r="F443" s="4" t="s">
        <v>1632</v>
      </c>
      <c r="G443" s="4" t="s">
        <v>27</v>
      </c>
      <c r="H443" s="4">
        <v>7230</v>
      </c>
      <c r="I443" s="5">
        <f t="shared" si="36"/>
        <v>5645.5750170421397</v>
      </c>
      <c r="J443" s="4">
        <v>1439</v>
      </c>
      <c r="K443" s="5">
        <f t="shared" si="37"/>
        <v>776.87493285349558</v>
      </c>
      <c r="L443" s="5">
        <v>0</v>
      </c>
      <c r="M443" s="5">
        <v>0</v>
      </c>
      <c r="N443" s="4">
        <v>0</v>
      </c>
      <c r="O443" s="5">
        <f t="shared" si="38"/>
        <v>0</v>
      </c>
      <c r="P443" s="4">
        <v>0</v>
      </c>
      <c r="Q443" s="4">
        <v>0</v>
      </c>
      <c r="R443" s="4">
        <v>0</v>
      </c>
      <c r="S443" s="5">
        <f t="shared" si="39"/>
        <v>0</v>
      </c>
      <c r="T443" s="5">
        <f t="shared" si="40"/>
        <v>0.13760776014991652</v>
      </c>
      <c r="U443" s="5">
        <f t="shared" si="41"/>
        <v>0</v>
      </c>
      <c r="V443" s="4">
        <v>14</v>
      </c>
      <c r="W443" s="4">
        <v>15</v>
      </c>
      <c r="X443" s="4">
        <v>13</v>
      </c>
      <c r="Y443" s="4">
        <v>15</v>
      </c>
      <c r="Z443" s="4">
        <v>0</v>
      </c>
      <c r="AA443" s="4">
        <v>0</v>
      </c>
      <c r="AB443" s="4">
        <v>0</v>
      </c>
      <c r="AC443" s="4">
        <v>0</v>
      </c>
      <c r="AD443" s="4"/>
      <c r="AE443" s="54">
        <v>-2.3295879364013672E-3</v>
      </c>
      <c r="AF443" s="54">
        <v>-0.90298235416412354</v>
      </c>
    </row>
    <row r="444" spans="1:32" x14ac:dyDescent="0.2">
      <c r="A444" s="53" t="s">
        <v>2243</v>
      </c>
      <c r="B444" s="53" t="s">
        <v>2455</v>
      </c>
      <c r="C444" s="54" t="s">
        <v>3253</v>
      </c>
      <c r="D444" s="13" t="s">
        <v>1010</v>
      </c>
      <c r="E444" s="4" t="s">
        <v>1012</v>
      </c>
      <c r="F444" s="4" t="s">
        <v>1011</v>
      </c>
      <c r="G444" s="4" t="s">
        <v>27</v>
      </c>
      <c r="H444" s="4">
        <v>1061</v>
      </c>
      <c r="I444" s="5">
        <f t="shared" si="36"/>
        <v>828.48618161572767</v>
      </c>
      <c r="J444" s="4">
        <v>1293</v>
      </c>
      <c r="K444" s="5">
        <f t="shared" si="37"/>
        <v>698.05370964528834</v>
      </c>
      <c r="L444" s="5">
        <v>0</v>
      </c>
      <c r="M444" s="5">
        <v>0</v>
      </c>
      <c r="N444" s="4">
        <v>0</v>
      </c>
      <c r="O444" s="5">
        <f t="shared" si="38"/>
        <v>0</v>
      </c>
      <c r="P444" s="4">
        <v>0</v>
      </c>
      <c r="Q444" s="4">
        <v>0</v>
      </c>
      <c r="R444" s="4">
        <v>0</v>
      </c>
      <c r="S444" s="5">
        <f t="shared" si="39"/>
        <v>0</v>
      </c>
      <c r="T444" s="5">
        <f t="shared" si="40"/>
        <v>0.84256530179408939</v>
      </c>
      <c r="U444" s="5">
        <f t="shared" si="41"/>
        <v>0</v>
      </c>
      <c r="V444" s="4">
        <v>-31</v>
      </c>
      <c r="W444" s="4">
        <v>2</v>
      </c>
      <c r="X444" s="4">
        <v>0</v>
      </c>
      <c r="Y444" s="4">
        <v>2</v>
      </c>
      <c r="Z444" s="4">
        <v>0</v>
      </c>
      <c r="AA444" s="4">
        <v>0</v>
      </c>
      <c r="AB444" s="4">
        <v>0</v>
      </c>
      <c r="AC444" s="4">
        <v>0</v>
      </c>
      <c r="AD444" s="4"/>
      <c r="AE444" s="54">
        <v>-1.5280246734619141E-3</v>
      </c>
      <c r="AF444" s="54">
        <v>-0.80316084623336792</v>
      </c>
    </row>
    <row r="445" spans="1:32" x14ac:dyDescent="0.2">
      <c r="A445" s="53" t="s">
        <v>2243</v>
      </c>
      <c r="B445" s="53" t="s">
        <v>2454</v>
      </c>
      <c r="C445" s="54" t="s">
        <v>3254</v>
      </c>
      <c r="D445" s="13" t="s">
        <v>551</v>
      </c>
      <c r="E445" s="4" t="s">
        <v>553</v>
      </c>
      <c r="F445" s="4" t="s">
        <v>552</v>
      </c>
      <c r="G445" s="4" t="s">
        <v>27</v>
      </c>
      <c r="H445" s="4">
        <v>962</v>
      </c>
      <c r="I445" s="5">
        <f t="shared" si="36"/>
        <v>751.18162744046185</v>
      </c>
      <c r="J445" s="4">
        <v>4512</v>
      </c>
      <c r="K445" s="5">
        <f t="shared" si="37"/>
        <v>2435.8997199687092</v>
      </c>
      <c r="L445" s="5">
        <v>0</v>
      </c>
      <c r="M445" s="5">
        <v>0</v>
      </c>
      <c r="N445" s="4">
        <v>0</v>
      </c>
      <c r="O445" s="5">
        <f t="shared" si="38"/>
        <v>0</v>
      </c>
      <c r="P445" s="4">
        <v>0</v>
      </c>
      <c r="Q445" s="4">
        <v>0</v>
      </c>
      <c r="R445" s="4">
        <v>0</v>
      </c>
      <c r="S445" s="5">
        <f t="shared" si="39"/>
        <v>0</v>
      </c>
      <c r="T445" s="5">
        <f t="shared" si="40"/>
        <v>3.242757318584415</v>
      </c>
      <c r="U445" s="5">
        <f t="shared" si="41"/>
        <v>0</v>
      </c>
      <c r="V445" s="4">
        <v>-21</v>
      </c>
      <c r="W445" s="4">
        <v>9</v>
      </c>
      <c r="X445" s="4">
        <v>-39</v>
      </c>
      <c r="Y445" s="4">
        <v>9</v>
      </c>
      <c r="Z445" s="4">
        <v>0</v>
      </c>
      <c r="AA445" s="4">
        <v>0</v>
      </c>
      <c r="AB445" s="4">
        <v>0</v>
      </c>
      <c r="AC445" s="4">
        <v>0</v>
      </c>
      <c r="AD445" s="4"/>
      <c r="AE445" s="54">
        <v>-8.983612060546875E-4</v>
      </c>
      <c r="AF445" s="54">
        <v>-0.64861905574798584</v>
      </c>
    </row>
    <row r="446" spans="1:32" x14ac:dyDescent="0.2">
      <c r="A446" s="53" t="s">
        <v>2243</v>
      </c>
      <c r="B446" s="53" t="s">
        <v>2448</v>
      </c>
      <c r="C446" s="54" t="s">
        <v>3255</v>
      </c>
      <c r="D446" s="13" t="s">
        <v>55</v>
      </c>
      <c r="E446" s="4" t="s">
        <v>57</v>
      </c>
      <c r="F446" s="4" t="s">
        <v>56</v>
      </c>
      <c r="G446" s="4" t="s">
        <v>27</v>
      </c>
      <c r="H446" s="4">
        <v>1048</v>
      </c>
      <c r="I446" s="5">
        <f t="shared" si="36"/>
        <v>818.33507854220795</v>
      </c>
      <c r="J446" s="4">
        <v>4906</v>
      </c>
      <c r="K446" s="5">
        <f t="shared" si="37"/>
        <v>2648.6090483525013</v>
      </c>
      <c r="L446" s="5">
        <v>0</v>
      </c>
      <c r="M446" s="5">
        <v>0</v>
      </c>
      <c r="N446" s="4">
        <v>0</v>
      </c>
      <c r="O446" s="5">
        <f t="shared" si="38"/>
        <v>0</v>
      </c>
      <c r="P446" s="4">
        <v>0</v>
      </c>
      <c r="Q446" s="4">
        <v>0</v>
      </c>
      <c r="R446" s="4">
        <v>0</v>
      </c>
      <c r="S446" s="5">
        <f t="shared" si="39"/>
        <v>0</v>
      </c>
      <c r="T446" s="5">
        <f t="shared" si="40"/>
        <v>3.2365825659957848</v>
      </c>
      <c r="U446" s="5">
        <f t="shared" si="41"/>
        <v>0</v>
      </c>
      <c r="V446" s="4">
        <v>46</v>
      </c>
      <c r="W446" s="4">
        <v>-20</v>
      </c>
      <c r="X446" s="4">
        <v>5</v>
      </c>
      <c r="Y446" s="4">
        <v>-34</v>
      </c>
      <c r="Z446" s="4">
        <v>0</v>
      </c>
      <c r="AA446" s="4">
        <v>0</v>
      </c>
      <c r="AB446" s="4">
        <v>0.95</v>
      </c>
      <c r="AC446" s="4">
        <v>0.01</v>
      </c>
      <c r="AD446" s="4"/>
      <c r="AE446" s="54">
        <v>-6.8380832672119141E-3</v>
      </c>
      <c r="AF446" s="54">
        <v>-0.99527114629745483</v>
      </c>
    </row>
    <row r="447" spans="1:32" x14ac:dyDescent="0.2">
      <c r="A447" s="53" t="s">
        <v>2243</v>
      </c>
      <c r="B447" s="53" t="s">
        <v>2449</v>
      </c>
      <c r="C447" s="54" t="s">
        <v>3256</v>
      </c>
      <c r="D447" s="13" t="s">
        <v>1803</v>
      </c>
      <c r="E447" s="4" t="s">
        <v>1805</v>
      </c>
      <c r="F447" s="4" t="s">
        <v>1804</v>
      </c>
      <c r="G447" s="4" t="s">
        <v>27</v>
      </c>
      <c r="H447" s="4">
        <v>3331</v>
      </c>
      <c r="I447" s="5">
        <f t="shared" si="36"/>
        <v>2601.0249490687925</v>
      </c>
      <c r="J447" s="4">
        <v>3205</v>
      </c>
      <c r="K447" s="5">
        <f t="shared" si="37"/>
        <v>1730.2878108377022</v>
      </c>
      <c r="L447" s="5">
        <v>0</v>
      </c>
      <c r="M447" s="5">
        <v>0</v>
      </c>
      <c r="N447" s="4">
        <v>0</v>
      </c>
      <c r="O447" s="5">
        <f t="shared" si="38"/>
        <v>0</v>
      </c>
      <c r="P447" s="4">
        <v>0</v>
      </c>
      <c r="Q447" s="4">
        <v>0</v>
      </c>
      <c r="R447" s="4">
        <v>0</v>
      </c>
      <c r="S447" s="5">
        <f t="shared" si="39"/>
        <v>0</v>
      </c>
      <c r="T447" s="5">
        <f t="shared" si="40"/>
        <v>0.66523306954713068</v>
      </c>
      <c r="U447" s="5">
        <f t="shared" si="41"/>
        <v>0</v>
      </c>
      <c r="V447" s="4">
        <v>-38</v>
      </c>
      <c r="W447" s="4">
        <v>0</v>
      </c>
      <c r="X447" s="4">
        <v>2</v>
      </c>
      <c r="Y447" s="4">
        <v>1</v>
      </c>
      <c r="Z447" s="4">
        <v>0</v>
      </c>
      <c r="AA447" s="4">
        <v>0</v>
      </c>
      <c r="AB447" s="4">
        <v>0</v>
      </c>
      <c r="AC447" s="4">
        <v>0</v>
      </c>
      <c r="AD447" s="4"/>
      <c r="AE447" s="54">
        <v>-3.8385391235351562E-4</v>
      </c>
      <c r="AF447" s="54">
        <v>-0.42181968688964838</v>
      </c>
    </row>
    <row r="448" spans="1:32" x14ac:dyDescent="0.2">
      <c r="A448" s="53" t="s">
        <v>2243</v>
      </c>
      <c r="B448" s="53" t="s">
        <v>2450</v>
      </c>
      <c r="C448" s="54" t="s">
        <v>3257</v>
      </c>
      <c r="D448" s="13" t="s">
        <v>1806</v>
      </c>
      <c r="E448" s="4" t="s">
        <v>1808</v>
      </c>
      <c r="F448" s="4" t="s">
        <v>1807</v>
      </c>
      <c r="G448" s="4" t="s">
        <v>27</v>
      </c>
      <c r="H448" s="4">
        <v>1464</v>
      </c>
      <c r="I448" s="5">
        <f t="shared" si="36"/>
        <v>1143.17037689484</v>
      </c>
      <c r="J448" s="4">
        <v>3376</v>
      </c>
      <c r="K448" s="5">
        <f t="shared" si="37"/>
        <v>1822.6058188418353</v>
      </c>
      <c r="L448" s="5">
        <v>0</v>
      </c>
      <c r="M448" s="5">
        <v>0</v>
      </c>
      <c r="N448" s="4">
        <v>0</v>
      </c>
      <c r="O448" s="5">
        <f t="shared" si="38"/>
        <v>0</v>
      </c>
      <c r="P448" s="4">
        <v>0</v>
      </c>
      <c r="Q448" s="4">
        <v>0</v>
      </c>
      <c r="R448" s="4">
        <v>0</v>
      </c>
      <c r="S448" s="5">
        <f t="shared" si="39"/>
        <v>0</v>
      </c>
      <c r="T448" s="5">
        <f t="shared" si="40"/>
        <v>1.5943431142718425</v>
      </c>
      <c r="U448" s="5">
        <f t="shared" si="41"/>
        <v>0</v>
      </c>
      <c r="V448" s="4">
        <v>11</v>
      </c>
      <c r="W448" s="4">
        <v>-30</v>
      </c>
      <c r="X448" s="4">
        <v>-31</v>
      </c>
      <c r="Y448" s="4">
        <v>33</v>
      </c>
      <c r="Z448" s="4">
        <v>0</v>
      </c>
      <c r="AA448" s="4">
        <v>0</v>
      </c>
      <c r="AB448" s="4">
        <v>0</v>
      </c>
      <c r="AC448" s="4">
        <v>0</v>
      </c>
      <c r="AD448" s="4"/>
      <c r="AE448" s="54">
        <v>4.3272972106933588E-4</v>
      </c>
      <c r="AF448" s="54">
        <v>0.4590030312538147</v>
      </c>
    </row>
    <row r="449" spans="1:32" x14ac:dyDescent="0.2">
      <c r="A449" s="53" t="s">
        <v>2243</v>
      </c>
      <c r="B449" s="53" t="s">
        <v>2451</v>
      </c>
      <c r="C449" s="54" t="s">
        <v>3258</v>
      </c>
      <c r="D449" s="13" t="s">
        <v>1280</v>
      </c>
      <c r="E449" s="4" t="s">
        <v>1282</v>
      </c>
      <c r="F449" s="4" t="s">
        <v>1281</v>
      </c>
      <c r="G449" s="4" t="s">
        <v>27</v>
      </c>
      <c r="H449" s="4">
        <v>1237</v>
      </c>
      <c r="I449" s="5">
        <f t="shared" si="36"/>
        <v>965.91650014953359</v>
      </c>
      <c r="J449" s="4">
        <v>892</v>
      </c>
      <c r="K449" s="5">
        <f t="shared" si="37"/>
        <v>481.5652815186366</v>
      </c>
      <c r="L449" s="5">
        <v>0</v>
      </c>
      <c r="M449" s="5">
        <v>1</v>
      </c>
      <c r="N449" s="4">
        <v>0</v>
      </c>
      <c r="O449" s="5">
        <f t="shared" si="38"/>
        <v>0.33333333333333331</v>
      </c>
      <c r="P449" s="4">
        <v>0</v>
      </c>
      <c r="Q449" s="4">
        <v>0</v>
      </c>
      <c r="R449" s="4">
        <v>0</v>
      </c>
      <c r="S449" s="5">
        <f t="shared" si="39"/>
        <v>0</v>
      </c>
      <c r="T449" s="5">
        <f t="shared" si="40"/>
        <v>0.49855787890991143</v>
      </c>
      <c r="U449" s="5">
        <f t="shared" si="41"/>
        <v>0</v>
      </c>
      <c r="V449" s="4">
        <v>-48</v>
      </c>
      <c r="W449" s="4">
        <v>-35</v>
      </c>
      <c r="X449" s="4">
        <v>23</v>
      </c>
      <c r="Y449" s="4">
        <v>-35</v>
      </c>
      <c r="Z449" s="4">
        <v>0</v>
      </c>
      <c r="AA449" s="4">
        <v>0</v>
      </c>
      <c r="AB449" s="4">
        <v>0</v>
      </c>
      <c r="AC449" s="4">
        <v>0</v>
      </c>
      <c r="AD449" s="4"/>
      <c r="AE449" s="54">
        <v>1.744508743286133E-3</v>
      </c>
      <c r="AF449" s="54">
        <v>0.84048247337341309</v>
      </c>
    </row>
    <row r="450" spans="1:32" x14ac:dyDescent="0.2">
      <c r="A450" s="53" t="s">
        <v>2243</v>
      </c>
      <c r="B450" s="53" t="s">
        <v>2445</v>
      </c>
      <c r="C450" s="54" t="s">
        <v>3259</v>
      </c>
      <c r="D450" s="13" t="s">
        <v>1007</v>
      </c>
      <c r="E450" s="4" t="s">
        <v>1009</v>
      </c>
      <c r="F450" s="4" t="s">
        <v>1008</v>
      </c>
      <c r="G450" s="4" t="s">
        <v>27</v>
      </c>
      <c r="H450" s="4">
        <v>377</v>
      </c>
      <c r="I450" s="5">
        <f t="shared" ref="I450:I513" si="42">H450/H$677*1000000</f>
        <v>294.38198913207287</v>
      </c>
      <c r="J450" s="4">
        <v>2784</v>
      </c>
      <c r="K450" s="5">
        <f t="shared" ref="K450:K513" si="43">J450/J$677*1000000</f>
        <v>1503.0019548743101</v>
      </c>
      <c r="L450" s="5">
        <v>0</v>
      </c>
      <c r="M450" s="5">
        <v>0</v>
      </c>
      <c r="N450" s="4">
        <v>0</v>
      </c>
      <c r="O450" s="5">
        <f t="shared" ref="O450:O513" si="44">AVERAGE(L450:N450)</f>
        <v>0</v>
      </c>
      <c r="P450" s="4">
        <v>0</v>
      </c>
      <c r="Q450" s="4">
        <v>0</v>
      </c>
      <c r="R450" s="4">
        <v>0</v>
      </c>
      <c r="S450" s="5">
        <f t="shared" ref="S450:S513" si="45">AVERAGE(P450:R450)</f>
        <v>0</v>
      </c>
      <c r="T450" s="5">
        <f t="shared" ref="T450:T513" si="46">K450/I450</f>
        <v>5.105617905856314</v>
      </c>
      <c r="U450" s="5">
        <f t="shared" ref="U450:U513" si="47">S450/((O450+1)*T450)</f>
        <v>0</v>
      </c>
      <c r="V450" s="4">
        <v>-13</v>
      </c>
      <c r="W450" s="4">
        <v>19</v>
      </c>
      <c r="X450" s="4">
        <v>20</v>
      </c>
      <c r="Y450" s="4">
        <v>37</v>
      </c>
      <c r="Z450" s="4">
        <v>0</v>
      </c>
      <c r="AA450" s="4">
        <v>0</v>
      </c>
      <c r="AB450" s="4">
        <v>0</v>
      </c>
      <c r="AC450" s="4">
        <v>0</v>
      </c>
      <c r="AD450" s="4"/>
      <c r="AE450" s="54">
        <v>2.7537345886230469E-4</v>
      </c>
      <c r="AF450" s="54">
        <v>0.36330443620681763</v>
      </c>
    </row>
    <row r="451" spans="1:32" x14ac:dyDescent="0.2">
      <c r="A451" s="53" t="s">
        <v>2243</v>
      </c>
      <c r="B451" s="53" t="s">
        <v>2444</v>
      </c>
      <c r="C451" s="54" t="s">
        <v>3260</v>
      </c>
      <c r="D451" s="13" t="s">
        <v>1004</v>
      </c>
      <c r="E451" s="4" t="s">
        <v>1006</v>
      </c>
      <c r="F451" s="4" t="s">
        <v>1005</v>
      </c>
      <c r="G451" s="4" t="s">
        <v>27</v>
      </c>
      <c r="H451" s="4">
        <v>474</v>
      </c>
      <c r="I451" s="5">
        <f t="shared" si="42"/>
        <v>370.12483514218178</v>
      </c>
      <c r="J451" s="4">
        <v>704</v>
      </c>
      <c r="K451" s="5">
        <f t="shared" si="43"/>
        <v>380.06945985327377</v>
      </c>
      <c r="L451" s="5">
        <v>0</v>
      </c>
      <c r="M451" s="5">
        <v>0</v>
      </c>
      <c r="N451" s="4">
        <v>0</v>
      </c>
      <c r="O451" s="5">
        <f t="shared" si="44"/>
        <v>0</v>
      </c>
      <c r="P451" s="4">
        <v>0</v>
      </c>
      <c r="Q451" s="4">
        <v>0</v>
      </c>
      <c r="R451" s="4">
        <v>0</v>
      </c>
      <c r="S451" s="5">
        <f t="shared" si="45"/>
        <v>0</v>
      </c>
      <c r="T451" s="5">
        <f t="shared" si="46"/>
        <v>1.0268682989275004</v>
      </c>
      <c r="U451" s="5">
        <f t="shared" si="47"/>
        <v>0</v>
      </c>
      <c r="V451" s="4">
        <v>38</v>
      </c>
      <c r="W451" s="4">
        <v>-1</v>
      </c>
      <c r="X451" s="4">
        <v>29</v>
      </c>
      <c r="Y451" s="4">
        <v>1</v>
      </c>
      <c r="Z451" s="4">
        <v>0</v>
      </c>
      <c r="AA451" s="4">
        <v>0</v>
      </c>
      <c r="AB451" s="4">
        <v>0</v>
      </c>
      <c r="AC451" s="4">
        <v>0</v>
      </c>
      <c r="AD451" s="4"/>
      <c r="AE451" s="54">
        <v>-3.9315223693847656E-3</v>
      </c>
      <c r="AF451" s="54">
        <v>-0.97237616777420044</v>
      </c>
    </row>
    <row r="452" spans="1:32" x14ac:dyDescent="0.2">
      <c r="A452" s="53" t="s">
        <v>2243</v>
      </c>
      <c r="B452" s="53" t="s">
        <v>2443</v>
      </c>
      <c r="C452" s="54" t="s">
        <v>3261</v>
      </c>
      <c r="D452" s="13" t="s">
        <v>1277</v>
      </c>
      <c r="E452" s="4" t="s">
        <v>1279</v>
      </c>
      <c r="F452" s="4" t="s">
        <v>1278</v>
      </c>
      <c r="G452" s="4" t="s">
        <v>27</v>
      </c>
      <c r="H452" s="4">
        <v>808</v>
      </c>
      <c r="I452" s="5">
        <f t="shared" si="42"/>
        <v>630.93009872338166</v>
      </c>
      <c r="J452" s="4">
        <v>3176</v>
      </c>
      <c r="K452" s="5">
        <f t="shared" si="43"/>
        <v>1714.6315404744282</v>
      </c>
      <c r="L452" s="5">
        <v>0</v>
      </c>
      <c r="M452" s="5">
        <v>0</v>
      </c>
      <c r="N452" s="4">
        <v>0</v>
      </c>
      <c r="O452" s="5">
        <f t="shared" si="44"/>
        <v>0</v>
      </c>
      <c r="P452" s="4">
        <v>0</v>
      </c>
      <c r="Q452" s="4">
        <v>0</v>
      </c>
      <c r="R452" s="4">
        <v>0</v>
      </c>
      <c r="S452" s="5">
        <f t="shared" si="45"/>
        <v>0</v>
      </c>
      <c r="T452" s="5">
        <f t="shared" si="46"/>
        <v>2.7176252075210843</v>
      </c>
      <c r="U452" s="5">
        <f t="shared" si="47"/>
        <v>0</v>
      </c>
      <c r="V452" s="4">
        <v>-4</v>
      </c>
      <c r="W452" s="4">
        <v>46</v>
      </c>
      <c r="X452" s="4">
        <v>46</v>
      </c>
      <c r="Y452" s="4">
        <v>-26</v>
      </c>
      <c r="Z452" s="4">
        <v>0</v>
      </c>
      <c r="AA452" s="4">
        <v>0</v>
      </c>
      <c r="AB452" s="4">
        <v>0</v>
      </c>
      <c r="AC452" s="4">
        <v>0</v>
      </c>
      <c r="AD452" s="4"/>
      <c r="AE452" s="54">
        <v>2.2015571594238281E-3</v>
      </c>
      <c r="AF452" s="54">
        <v>0.89409929513931274</v>
      </c>
    </row>
    <row r="453" spans="1:32" x14ac:dyDescent="0.2">
      <c r="A453" s="53" t="s">
        <v>2243</v>
      </c>
      <c r="B453" s="53" t="s">
        <v>2441</v>
      </c>
      <c r="C453" s="54" t="s">
        <v>3262</v>
      </c>
      <c r="D453" s="13" t="s">
        <v>1625</v>
      </c>
      <c r="E453" s="4" t="s">
        <v>1627</v>
      </c>
      <c r="F453" s="4" t="s">
        <v>1626</v>
      </c>
      <c r="G453" s="4" t="s">
        <v>27</v>
      </c>
      <c r="H453" s="4">
        <v>1879</v>
      </c>
      <c r="I453" s="5">
        <f t="shared" si="42"/>
        <v>1467.2248211648937</v>
      </c>
      <c r="J453" s="4">
        <v>2726</v>
      </c>
      <c r="K453" s="5">
        <f t="shared" si="43"/>
        <v>1471.6894141477617</v>
      </c>
      <c r="L453" s="5">
        <v>0</v>
      </c>
      <c r="M453" s="5">
        <v>0</v>
      </c>
      <c r="N453" s="4">
        <v>0</v>
      </c>
      <c r="O453" s="5">
        <f t="shared" si="44"/>
        <v>0</v>
      </c>
      <c r="P453" s="4">
        <v>0</v>
      </c>
      <c r="Q453" s="4">
        <v>0</v>
      </c>
      <c r="R453" s="4">
        <v>0</v>
      </c>
      <c r="S453" s="5">
        <f t="shared" si="45"/>
        <v>0</v>
      </c>
      <c r="T453" s="5">
        <f t="shared" si="46"/>
        <v>1.0030428826710573</v>
      </c>
      <c r="U453" s="5">
        <f t="shared" si="47"/>
        <v>0</v>
      </c>
      <c r="V453" s="4">
        <v>4</v>
      </c>
      <c r="W453" s="4">
        <v>21</v>
      </c>
      <c r="X453" s="4">
        <v>4</v>
      </c>
      <c r="Y453" s="4">
        <v>-43</v>
      </c>
      <c r="Z453" s="4">
        <v>0</v>
      </c>
      <c r="AA453" s="4">
        <v>0</v>
      </c>
      <c r="AB453" s="4">
        <v>0</v>
      </c>
      <c r="AC453" s="4">
        <v>0</v>
      </c>
      <c r="AD453" s="4"/>
      <c r="AE453" s="54">
        <v>1.675844192504883E-3</v>
      </c>
      <c r="AF453" s="54">
        <v>0.83002185821533203</v>
      </c>
    </row>
    <row r="454" spans="1:32" x14ac:dyDescent="0.2">
      <c r="A454" s="53" t="s">
        <v>2243</v>
      </c>
      <c r="B454" s="53" t="s">
        <v>2447</v>
      </c>
      <c r="C454" s="54" t="s">
        <v>3264</v>
      </c>
      <c r="D454" s="13" t="s">
        <v>1800</v>
      </c>
      <c r="E454" s="4" t="s">
        <v>1802</v>
      </c>
      <c r="F454" s="4" t="s">
        <v>1801</v>
      </c>
      <c r="G454" s="4" t="s">
        <v>27</v>
      </c>
      <c r="H454" s="4">
        <v>102</v>
      </c>
      <c r="I454" s="5">
        <f t="shared" si="42"/>
        <v>79.647116423001151</v>
      </c>
      <c r="J454" s="4">
        <v>3633</v>
      </c>
      <c r="K454" s="5">
        <f t="shared" si="43"/>
        <v>1961.3527665439537</v>
      </c>
      <c r="L454" s="5">
        <v>0</v>
      </c>
      <c r="M454" s="5">
        <v>0</v>
      </c>
      <c r="N454" s="4">
        <v>0</v>
      </c>
      <c r="O454" s="5">
        <f t="shared" si="44"/>
        <v>0</v>
      </c>
      <c r="P454" s="4">
        <v>0</v>
      </c>
      <c r="Q454" s="4">
        <v>0</v>
      </c>
      <c r="R454" s="4">
        <v>0</v>
      </c>
      <c r="S454" s="5">
        <f t="shared" si="45"/>
        <v>0</v>
      </c>
      <c r="T454" s="5">
        <f t="shared" si="46"/>
        <v>24.625533912958311</v>
      </c>
      <c r="U454" s="5">
        <f t="shared" si="47"/>
        <v>0</v>
      </c>
      <c r="V454" s="4">
        <v>40</v>
      </c>
      <c r="W454" s="4">
        <v>-25</v>
      </c>
      <c r="X454" s="4">
        <v>2</v>
      </c>
      <c r="Y454" s="4">
        <v>5</v>
      </c>
      <c r="Z454" s="4">
        <v>0</v>
      </c>
      <c r="AA454" s="4">
        <v>0</v>
      </c>
      <c r="AB454" s="4">
        <v>0</v>
      </c>
      <c r="AC454" s="4">
        <v>0</v>
      </c>
      <c r="AD454" s="4"/>
      <c r="AE454" s="54">
        <v>1.208066940307617E-3</v>
      </c>
      <c r="AF454" s="54">
        <v>0.74315381050109863</v>
      </c>
    </row>
    <row r="455" spans="1:32" x14ac:dyDescent="0.2">
      <c r="A455" s="53" t="s">
        <v>2243</v>
      </c>
      <c r="B455" s="53" t="s">
        <v>2446</v>
      </c>
      <c r="C455" s="54" t="s">
        <v>3265</v>
      </c>
      <c r="D455" s="13" t="s">
        <v>1628</v>
      </c>
      <c r="E455" s="4" t="s">
        <v>1630</v>
      </c>
      <c r="F455" s="4" t="s">
        <v>1629</v>
      </c>
      <c r="G455" s="4" t="s">
        <v>27</v>
      </c>
      <c r="H455" s="4">
        <v>135</v>
      </c>
      <c r="I455" s="5">
        <f t="shared" si="42"/>
        <v>105.41530114808977</v>
      </c>
      <c r="J455" s="4">
        <v>2479</v>
      </c>
      <c r="K455" s="5">
        <f t="shared" si="43"/>
        <v>1338.3411803640138</v>
      </c>
      <c r="L455" s="5">
        <v>0</v>
      </c>
      <c r="M455" s="5">
        <v>0</v>
      </c>
      <c r="N455" s="4">
        <v>0</v>
      </c>
      <c r="O455" s="5">
        <f t="shared" si="44"/>
        <v>0</v>
      </c>
      <c r="P455" s="4">
        <v>0</v>
      </c>
      <c r="Q455" s="4">
        <v>0</v>
      </c>
      <c r="R455" s="4">
        <v>0</v>
      </c>
      <c r="S455" s="5">
        <f t="shared" si="45"/>
        <v>0</v>
      </c>
      <c r="T455" s="5">
        <f t="shared" si="46"/>
        <v>12.695891068829583</v>
      </c>
      <c r="U455" s="5">
        <f t="shared" si="47"/>
        <v>0</v>
      </c>
      <c r="V455" s="4">
        <v>11</v>
      </c>
      <c r="W455" s="4">
        <v>-1</v>
      </c>
      <c r="X455" s="4">
        <v>-15</v>
      </c>
      <c r="Y455" s="4">
        <v>38</v>
      </c>
      <c r="Z455" s="4">
        <v>0</v>
      </c>
      <c r="AA455" s="4">
        <v>0</v>
      </c>
      <c r="AB455" s="4">
        <v>0</v>
      </c>
      <c r="AC455" s="4">
        <v>0</v>
      </c>
      <c r="AD455" s="4"/>
      <c r="AE455" s="54">
        <v>4.2245388031005859E-3</v>
      </c>
      <c r="AF455" s="54">
        <v>0.97850137948989868</v>
      </c>
    </row>
    <row r="456" spans="1:32" x14ac:dyDescent="0.2">
      <c r="A456" s="53" t="s">
        <v>2243</v>
      </c>
      <c r="B456" s="53" t="s">
        <v>2442</v>
      </c>
      <c r="C456" s="54" t="s">
        <v>3266</v>
      </c>
      <c r="D456" s="13" t="s">
        <v>1989</v>
      </c>
      <c r="E456" s="4" t="s">
        <v>1991</v>
      </c>
      <c r="F456" s="4" t="s">
        <v>1990</v>
      </c>
      <c r="G456" s="4" t="s">
        <v>27</v>
      </c>
      <c r="H456" s="4">
        <v>54</v>
      </c>
      <c r="I456" s="5">
        <f t="shared" si="42"/>
        <v>42.166120459235906</v>
      </c>
      <c r="J456" s="4">
        <v>4920</v>
      </c>
      <c r="K456" s="5">
        <f t="shared" si="43"/>
        <v>2656.1672478382202</v>
      </c>
      <c r="L456" s="5">
        <v>0</v>
      </c>
      <c r="M456" s="5">
        <v>0</v>
      </c>
      <c r="N456" s="4">
        <v>0</v>
      </c>
      <c r="O456" s="5">
        <f t="shared" si="44"/>
        <v>0</v>
      </c>
      <c r="P456" s="4">
        <v>0</v>
      </c>
      <c r="Q456" s="4">
        <v>0</v>
      </c>
      <c r="R456" s="4">
        <v>0</v>
      </c>
      <c r="S456" s="5">
        <f t="shared" si="45"/>
        <v>0</v>
      </c>
      <c r="T456" s="5">
        <f t="shared" si="46"/>
        <v>62.992924625495718</v>
      </c>
      <c r="U456" s="5">
        <f t="shared" si="47"/>
        <v>0</v>
      </c>
      <c r="V456" s="4">
        <v>2</v>
      </c>
      <c r="W456" s="4">
        <v>-43</v>
      </c>
      <c r="X456" s="4">
        <v>48</v>
      </c>
      <c r="Y456" s="4">
        <v>-20</v>
      </c>
      <c r="Z456" s="4">
        <v>0</v>
      </c>
      <c r="AA456" s="4">
        <v>0</v>
      </c>
      <c r="AB456" s="4">
        <v>0</v>
      </c>
      <c r="AC456" s="4">
        <v>0</v>
      </c>
      <c r="AD456" s="4"/>
      <c r="AE456" s="54">
        <v>-2.2435188293457031E-3</v>
      </c>
      <c r="AF456" s="54">
        <v>-0.89409929513931274</v>
      </c>
    </row>
    <row r="457" spans="1:32" x14ac:dyDescent="0.2">
      <c r="A457" s="53" t="s">
        <v>2243</v>
      </c>
      <c r="B457" s="53" t="s">
        <v>2439</v>
      </c>
      <c r="C457" s="54" t="s">
        <v>3267</v>
      </c>
      <c r="D457" s="13" t="s">
        <v>1797</v>
      </c>
      <c r="E457" s="4" t="s">
        <v>1799</v>
      </c>
      <c r="F457" s="4" t="s">
        <v>1798</v>
      </c>
      <c r="G457" s="4" t="s">
        <v>27</v>
      </c>
      <c r="H457" s="4">
        <v>102</v>
      </c>
      <c r="I457" s="5">
        <f t="shared" si="42"/>
        <v>79.647116423001151</v>
      </c>
      <c r="J457" s="4">
        <v>1783</v>
      </c>
      <c r="K457" s="5">
        <f t="shared" si="43"/>
        <v>962.59069164543632</v>
      </c>
      <c r="L457" s="5">
        <v>0</v>
      </c>
      <c r="M457" s="5">
        <v>0</v>
      </c>
      <c r="N457" s="4">
        <v>0</v>
      </c>
      <c r="O457" s="5">
        <f t="shared" si="44"/>
        <v>0</v>
      </c>
      <c r="P457" s="4">
        <v>0</v>
      </c>
      <c r="Q457" s="4">
        <v>0</v>
      </c>
      <c r="R457" s="4">
        <v>0</v>
      </c>
      <c r="S457" s="5">
        <f t="shared" si="45"/>
        <v>0</v>
      </c>
      <c r="T457" s="5">
        <f t="shared" si="46"/>
        <v>12.085694182990553</v>
      </c>
      <c r="U457" s="5">
        <f t="shared" si="47"/>
        <v>0</v>
      </c>
      <c r="V457" s="4">
        <v>-27</v>
      </c>
      <c r="W457" s="4">
        <v>7</v>
      </c>
      <c r="X457" s="4">
        <v>-27</v>
      </c>
      <c r="Y457" s="4">
        <v>-49</v>
      </c>
      <c r="Z457" s="4">
        <v>0</v>
      </c>
      <c r="AA457" s="4">
        <v>0</v>
      </c>
      <c r="AB457" s="4">
        <v>0</v>
      </c>
      <c r="AC457" s="4">
        <v>0</v>
      </c>
      <c r="AD457" s="4"/>
      <c r="AE457" s="54">
        <v>2.4387836456298828E-3</v>
      </c>
      <c r="AF457" s="54">
        <v>0.91309356689453125</v>
      </c>
    </row>
    <row r="458" spans="1:32" x14ac:dyDescent="0.2">
      <c r="A458" s="53" t="s">
        <v>2243</v>
      </c>
      <c r="B458" s="53" t="s">
        <v>2438</v>
      </c>
      <c r="C458" s="54" t="s">
        <v>3268</v>
      </c>
      <c r="D458" s="13" t="s">
        <v>1794</v>
      </c>
      <c r="E458" s="4" t="s">
        <v>1796</v>
      </c>
      <c r="F458" s="4" t="s">
        <v>1795</v>
      </c>
      <c r="G458" s="10" t="s">
        <v>27</v>
      </c>
      <c r="H458" s="4">
        <v>162</v>
      </c>
      <c r="I458" s="5">
        <f t="shared" si="42"/>
        <v>126.49836137770771</v>
      </c>
      <c r="J458" s="4">
        <v>3518</v>
      </c>
      <c r="K458" s="5">
        <f t="shared" si="43"/>
        <v>1899.2675564826945</v>
      </c>
      <c r="L458" s="5">
        <v>0</v>
      </c>
      <c r="M458" s="5">
        <v>0</v>
      </c>
      <c r="N458" s="4">
        <v>0</v>
      </c>
      <c r="O458" s="5">
        <f t="shared" si="44"/>
        <v>0</v>
      </c>
      <c r="P458" s="4">
        <v>0</v>
      </c>
      <c r="Q458" s="4">
        <v>0</v>
      </c>
      <c r="R458" s="4">
        <v>0</v>
      </c>
      <c r="S458" s="5">
        <f t="shared" si="45"/>
        <v>0</v>
      </c>
      <c r="T458" s="5">
        <f t="shared" si="46"/>
        <v>15.014167265074112</v>
      </c>
      <c r="U458" s="5">
        <f t="shared" si="47"/>
        <v>0</v>
      </c>
      <c r="V458" s="4">
        <v>8</v>
      </c>
      <c r="W458" s="4">
        <v>-1</v>
      </c>
      <c r="X458" s="4">
        <v>33</v>
      </c>
      <c r="Y458" s="4">
        <v>-1</v>
      </c>
      <c r="Z458" s="4">
        <v>0</v>
      </c>
      <c r="AA458" s="4">
        <v>0</v>
      </c>
      <c r="AB458" s="4">
        <v>0</v>
      </c>
      <c r="AC458" s="4">
        <v>0</v>
      </c>
      <c r="AD458" s="4"/>
      <c r="AE458" s="54">
        <v>-2.9726028442382808E-3</v>
      </c>
      <c r="AF458" s="54">
        <v>-0.94176918268203735</v>
      </c>
    </row>
    <row r="459" spans="1:32" x14ac:dyDescent="0.2">
      <c r="A459" s="53" t="s">
        <v>2243</v>
      </c>
      <c r="B459" s="53" t="s">
        <v>2437</v>
      </c>
      <c r="C459" s="54" t="s">
        <v>3269</v>
      </c>
      <c r="D459" s="13" t="s">
        <v>1622</v>
      </c>
      <c r="E459" s="4" t="s">
        <v>1624</v>
      </c>
      <c r="F459" s="4" t="s">
        <v>1623</v>
      </c>
      <c r="G459" s="10" t="s">
        <v>27</v>
      </c>
      <c r="H459" s="4">
        <v>695</v>
      </c>
      <c r="I459" s="5">
        <f t="shared" si="42"/>
        <v>542.69358739201766</v>
      </c>
      <c r="J459" s="4">
        <v>2123</v>
      </c>
      <c r="K459" s="5">
        <f t="shared" si="43"/>
        <v>1146.1469648700288</v>
      </c>
      <c r="L459" s="5">
        <v>0</v>
      </c>
      <c r="M459" s="5">
        <v>0</v>
      </c>
      <c r="N459" s="4">
        <v>0</v>
      </c>
      <c r="O459" s="5">
        <f t="shared" si="44"/>
        <v>0</v>
      </c>
      <c r="P459" s="4">
        <v>0</v>
      </c>
      <c r="Q459" s="4">
        <v>0</v>
      </c>
      <c r="R459" s="4">
        <v>0</v>
      </c>
      <c r="S459" s="5">
        <f t="shared" si="45"/>
        <v>0</v>
      </c>
      <c r="T459" s="5">
        <f t="shared" si="46"/>
        <v>2.1119596610271043</v>
      </c>
      <c r="U459" s="5">
        <f t="shared" si="47"/>
        <v>0</v>
      </c>
      <c r="V459" s="4">
        <v>-3</v>
      </c>
      <c r="W459" s="4">
        <v>-31</v>
      </c>
      <c r="X459" s="4">
        <v>-34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/>
      <c r="AE459" s="54">
        <v>3.910064697265625E-5</v>
      </c>
      <c r="AF459" s="54">
        <v>0.13755430281162259</v>
      </c>
    </row>
    <row r="460" spans="1:32" x14ac:dyDescent="0.2">
      <c r="A460" s="53" t="s">
        <v>2243</v>
      </c>
      <c r="B460" s="53" t="s">
        <v>2432</v>
      </c>
      <c r="C460" s="54" t="s">
        <v>3270</v>
      </c>
      <c r="D460" s="13" t="s">
        <v>1274</v>
      </c>
      <c r="E460" s="4" t="s">
        <v>1276</v>
      </c>
      <c r="F460" s="4" t="s">
        <v>1275</v>
      </c>
      <c r="G460" s="10" t="s">
        <v>27</v>
      </c>
      <c r="H460" s="4">
        <v>316</v>
      </c>
      <c r="I460" s="5">
        <f t="shared" si="42"/>
        <v>246.74989009478784</v>
      </c>
      <c r="J460" s="4">
        <v>4359</v>
      </c>
      <c r="K460" s="5">
        <f t="shared" si="43"/>
        <v>2353.2993970176426</v>
      </c>
      <c r="L460" s="5">
        <v>0</v>
      </c>
      <c r="M460" s="5">
        <v>0</v>
      </c>
      <c r="N460" s="4">
        <v>0</v>
      </c>
      <c r="O460" s="5">
        <f t="shared" si="44"/>
        <v>0</v>
      </c>
      <c r="P460" s="4">
        <v>0</v>
      </c>
      <c r="Q460" s="4">
        <v>0</v>
      </c>
      <c r="R460" s="4">
        <v>0</v>
      </c>
      <c r="S460" s="5">
        <f t="shared" si="45"/>
        <v>0</v>
      </c>
      <c r="T460" s="5">
        <f t="shared" si="46"/>
        <v>9.5371851882634413</v>
      </c>
      <c r="U460" s="5">
        <f t="shared" si="47"/>
        <v>0</v>
      </c>
      <c r="V460" s="4">
        <v>22</v>
      </c>
      <c r="W460" s="4">
        <v>-16</v>
      </c>
      <c r="X460" s="4">
        <v>-47</v>
      </c>
      <c r="Y460" s="4">
        <v>-5</v>
      </c>
      <c r="Z460" s="4">
        <v>0</v>
      </c>
      <c r="AA460" s="4">
        <v>0</v>
      </c>
      <c r="AB460" s="4">
        <v>0</v>
      </c>
      <c r="AC460" s="4">
        <v>0</v>
      </c>
      <c r="AD460" s="4"/>
      <c r="AE460" s="54">
        <v>-5.6743621826171875E-4</v>
      </c>
      <c r="AF460" s="54">
        <v>-0.51187217235565186</v>
      </c>
    </row>
    <row r="461" spans="1:32" x14ac:dyDescent="0.2">
      <c r="A461" s="53" t="s">
        <v>2243</v>
      </c>
      <c r="B461" s="53" t="s">
        <v>2433</v>
      </c>
      <c r="C461" s="54" t="s">
        <v>3271</v>
      </c>
      <c r="D461" s="13" t="s">
        <v>1788</v>
      </c>
      <c r="E461" s="4" t="s">
        <v>1790</v>
      </c>
      <c r="F461" s="4" t="s">
        <v>1789</v>
      </c>
      <c r="G461" s="10" t="s">
        <v>27</v>
      </c>
      <c r="H461" s="4">
        <v>118</v>
      </c>
      <c r="I461" s="5">
        <f t="shared" si="42"/>
        <v>92.140781744256245</v>
      </c>
      <c r="J461" s="4">
        <v>1862</v>
      </c>
      <c r="K461" s="5">
        <f t="shared" si="43"/>
        <v>1005.2405316005621</v>
      </c>
      <c r="L461" s="5">
        <v>0</v>
      </c>
      <c r="M461" s="5">
        <v>0</v>
      </c>
      <c r="N461" s="4">
        <v>0</v>
      </c>
      <c r="O461" s="5">
        <f t="shared" si="44"/>
        <v>0</v>
      </c>
      <c r="P461" s="4">
        <v>0</v>
      </c>
      <c r="Q461" s="4">
        <v>0</v>
      </c>
      <c r="R461" s="4">
        <v>0</v>
      </c>
      <c r="S461" s="5">
        <f t="shared" si="45"/>
        <v>0</v>
      </c>
      <c r="T461" s="5">
        <f t="shared" si="46"/>
        <v>10.90983289452312</v>
      </c>
      <c r="U461" s="5">
        <f t="shared" si="47"/>
        <v>0</v>
      </c>
      <c r="V461" s="4">
        <v>36</v>
      </c>
      <c r="W461" s="4">
        <v>-22</v>
      </c>
      <c r="X461" s="4">
        <v>-21</v>
      </c>
      <c r="Y461" s="4">
        <v>2</v>
      </c>
      <c r="Z461" s="4">
        <v>0</v>
      </c>
      <c r="AA461" s="4">
        <v>0</v>
      </c>
      <c r="AB461" s="4">
        <v>0</v>
      </c>
      <c r="AC461" s="4">
        <v>0</v>
      </c>
      <c r="AD461" s="4"/>
      <c r="AE461" s="54">
        <v>1.6715526580810549E-3</v>
      </c>
      <c r="AF461" s="54">
        <v>0.83002185821533203</v>
      </c>
    </row>
    <row r="462" spans="1:32" x14ac:dyDescent="0.2">
      <c r="A462" s="53" t="s">
        <v>2243</v>
      </c>
      <c r="B462" s="53" t="s">
        <v>2434</v>
      </c>
      <c r="C462" s="54" t="s">
        <v>3272</v>
      </c>
      <c r="D462" s="13" t="s">
        <v>548</v>
      </c>
      <c r="E462" s="4" t="s">
        <v>550</v>
      </c>
      <c r="F462" s="4" t="s">
        <v>549</v>
      </c>
      <c r="G462" s="10" t="s">
        <v>27</v>
      </c>
      <c r="H462" s="4">
        <v>2385</v>
      </c>
      <c r="I462" s="5">
        <f t="shared" si="42"/>
        <v>1862.3369869495857</v>
      </c>
      <c r="J462" s="4">
        <v>2103</v>
      </c>
      <c r="K462" s="5">
        <f t="shared" si="43"/>
        <v>1135.349537033288</v>
      </c>
      <c r="L462" s="5">
        <v>0</v>
      </c>
      <c r="M462" s="5">
        <v>0</v>
      </c>
      <c r="N462" s="4">
        <v>0</v>
      </c>
      <c r="O462" s="5">
        <f t="shared" si="44"/>
        <v>0</v>
      </c>
      <c r="P462" s="4">
        <v>0</v>
      </c>
      <c r="Q462" s="4">
        <v>0</v>
      </c>
      <c r="R462" s="4">
        <v>0</v>
      </c>
      <c r="S462" s="5">
        <f t="shared" si="45"/>
        <v>0</v>
      </c>
      <c r="T462" s="5">
        <f t="shared" si="46"/>
        <v>0.60963700178286928</v>
      </c>
      <c r="U462" s="5">
        <f t="shared" si="47"/>
        <v>0</v>
      </c>
      <c r="V462" s="4">
        <v>-9</v>
      </c>
      <c r="W462" s="4">
        <v>47</v>
      </c>
      <c r="X462" s="4">
        <v>34</v>
      </c>
      <c r="Y462" s="4">
        <v>5</v>
      </c>
      <c r="Z462" s="4">
        <v>0</v>
      </c>
      <c r="AA462" s="4">
        <v>0</v>
      </c>
      <c r="AB462" s="4">
        <v>0</v>
      </c>
      <c r="AC462" s="4">
        <v>0</v>
      </c>
      <c r="AD462" s="4"/>
      <c r="AE462" s="54">
        <v>-1.724648475646973E-2</v>
      </c>
      <c r="AF462" s="54">
        <v>-0.99919819831848145</v>
      </c>
    </row>
    <row r="463" spans="1:32" x14ac:dyDescent="0.2">
      <c r="A463" s="53" t="s">
        <v>2243</v>
      </c>
      <c r="B463" s="53" t="s">
        <v>2436</v>
      </c>
      <c r="C463" s="54" t="s">
        <v>3274</v>
      </c>
      <c r="D463" s="13" t="s">
        <v>1791</v>
      </c>
      <c r="E463" s="4" t="s">
        <v>1793</v>
      </c>
      <c r="F463" s="4" t="s">
        <v>1792</v>
      </c>
      <c r="G463" s="10" t="s">
        <v>27</v>
      </c>
      <c r="H463" s="4">
        <v>837</v>
      </c>
      <c r="I463" s="5">
        <f t="shared" si="42"/>
        <v>653.57486711815659</v>
      </c>
      <c r="J463" s="4">
        <v>3314</v>
      </c>
      <c r="K463" s="5">
        <f t="shared" si="43"/>
        <v>1789.1337925479393</v>
      </c>
      <c r="L463" s="5">
        <v>0</v>
      </c>
      <c r="M463" s="5">
        <v>0</v>
      </c>
      <c r="N463" s="4">
        <v>0</v>
      </c>
      <c r="O463" s="5">
        <f t="shared" si="44"/>
        <v>0</v>
      </c>
      <c r="P463" s="4">
        <v>0</v>
      </c>
      <c r="Q463" s="4">
        <v>0</v>
      </c>
      <c r="R463" s="4">
        <v>0</v>
      </c>
      <c r="S463" s="5">
        <f t="shared" si="45"/>
        <v>0</v>
      </c>
      <c r="T463" s="5">
        <f t="shared" si="46"/>
        <v>2.7374580672553472</v>
      </c>
      <c r="U463" s="5">
        <f t="shared" si="47"/>
        <v>0</v>
      </c>
      <c r="V463" s="4">
        <v>-1</v>
      </c>
      <c r="W463" s="4">
        <v>20</v>
      </c>
      <c r="X463" s="4">
        <v>5</v>
      </c>
      <c r="Y463" s="4">
        <v>-23</v>
      </c>
      <c r="Z463" s="4">
        <v>0</v>
      </c>
      <c r="AA463" s="4">
        <v>0</v>
      </c>
      <c r="AB463" s="4">
        <v>0</v>
      </c>
      <c r="AC463" s="4">
        <v>0.05</v>
      </c>
      <c r="AD463" s="4"/>
      <c r="AE463" s="54">
        <v>-2.0298957824707031E-3</v>
      </c>
      <c r="AF463" s="54">
        <v>-0.8739849328994751</v>
      </c>
    </row>
    <row r="464" spans="1:32" x14ac:dyDescent="0.2">
      <c r="A464" s="53" t="s">
        <v>2243</v>
      </c>
      <c r="B464" s="53" t="s">
        <v>2411</v>
      </c>
      <c r="C464" s="54" t="s">
        <v>3275</v>
      </c>
      <c r="D464" s="13" t="s">
        <v>761</v>
      </c>
      <c r="E464" s="4" t="s">
        <v>763</v>
      </c>
      <c r="F464" s="4" t="s">
        <v>762</v>
      </c>
      <c r="G464" s="10" t="s">
        <v>27</v>
      </c>
      <c r="H464" s="4">
        <v>3671</v>
      </c>
      <c r="I464" s="5">
        <f t="shared" si="42"/>
        <v>2866.515337145463</v>
      </c>
      <c r="J464" s="4">
        <v>4050</v>
      </c>
      <c r="K464" s="5">
        <f t="shared" si="43"/>
        <v>2186.4791369399982</v>
      </c>
      <c r="L464" s="5">
        <v>0</v>
      </c>
      <c r="M464" s="5">
        <v>0</v>
      </c>
      <c r="N464" s="4">
        <v>0</v>
      </c>
      <c r="O464" s="5">
        <f t="shared" si="44"/>
        <v>0</v>
      </c>
      <c r="P464" s="4">
        <v>0</v>
      </c>
      <c r="Q464" s="4">
        <v>0</v>
      </c>
      <c r="R464" s="4">
        <v>0</v>
      </c>
      <c r="S464" s="5">
        <f t="shared" si="45"/>
        <v>0</v>
      </c>
      <c r="T464" s="5">
        <f t="shared" si="46"/>
        <v>0.76276554623891901</v>
      </c>
      <c r="U464" s="5">
        <f t="shared" si="47"/>
        <v>0</v>
      </c>
      <c r="V464" s="4">
        <v>48</v>
      </c>
      <c r="W464" s="4">
        <v>-5</v>
      </c>
      <c r="X464" s="4">
        <v>-32</v>
      </c>
      <c r="Y464" s="4">
        <v>-39</v>
      </c>
      <c r="Z464" s="4">
        <v>0</v>
      </c>
      <c r="AA464" s="4">
        <v>0</v>
      </c>
      <c r="AB464" s="4">
        <v>0</v>
      </c>
      <c r="AC464" s="4">
        <v>0</v>
      </c>
      <c r="AD464" s="4"/>
      <c r="AE464" s="54">
        <v>1.0242462158203121E-3</v>
      </c>
      <c r="AF464" s="54">
        <v>0.69297832250595093</v>
      </c>
    </row>
    <row r="465" spans="1:32" x14ac:dyDescent="0.2">
      <c r="A465" s="53" t="s">
        <v>2243</v>
      </c>
      <c r="B465" s="53" t="s">
        <v>2431</v>
      </c>
      <c r="C465" s="54" t="s">
        <v>3276</v>
      </c>
      <c r="D465" s="13" t="s">
        <v>1265</v>
      </c>
      <c r="E465" s="4" t="s">
        <v>1267</v>
      </c>
      <c r="F465" s="4" t="s">
        <v>1266</v>
      </c>
      <c r="G465" s="10" t="s">
        <v>27</v>
      </c>
      <c r="H465" s="4">
        <v>3558</v>
      </c>
      <c r="I465" s="5">
        <f t="shared" si="42"/>
        <v>2778.278825814099</v>
      </c>
      <c r="J465" s="4">
        <v>4456</v>
      </c>
      <c r="K465" s="5">
        <f t="shared" si="43"/>
        <v>2405.666922025835</v>
      </c>
      <c r="L465" s="5">
        <v>0</v>
      </c>
      <c r="M465" s="5">
        <v>0</v>
      </c>
      <c r="N465" s="4">
        <v>0</v>
      </c>
      <c r="O465" s="5">
        <f t="shared" si="44"/>
        <v>0</v>
      </c>
      <c r="P465" s="4">
        <v>0</v>
      </c>
      <c r="Q465" s="4">
        <v>0</v>
      </c>
      <c r="R465" s="4">
        <v>0</v>
      </c>
      <c r="S465" s="5">
        <f t="shared" si="45"/>
        <v>0</v>
      </c>
      <c r="T465" s="5">
        <f t="shared" si="46"/>
        <v>0.8658839061341943</v>
      </c>
      <c r="U465" s="5">
        <f t="shared" si="47"/>
        <v>0</v>
      </c>
      <c r="V465" s="4">
        <v>7</v>
      </c>
      <c r="W465" s="4">
        <v>24</v>
      </c>
      <c r="X465" s="4">
        <v>-45</v>
      </c>
      <c r="Y465" s="4">
        <v>-3</v>
      </c>
      <c r="Z465" s="4">
        <v>0</v>
      </c>
      <c r="AA465" s="4">
        <v>0</v>
      </c>
      <c r="AB465" s="4">
        <v>0</v>
      </c>
      <c r="AC465" s="4">
        <v>0</v>
      </c>
      <c r="AD465" s="4"/>
      <c r="AE465" s="54">
        <v>-9.9587440490722656E-4</v>
      </c>
      <c r="AF465" s="54">
        <v>-0.68079328536987305</v>
      </c>
    </row>
    <row r="466" spans="1:32" x14ac:dyDescent="0.2">
      <c r="A466" s="53" t="s">
        <v>2243</v>
      </c>
      <c r="B466" s="53" t="s">
        <v>2425</v>
      </c>
      <c r="C466" s="54" t="s">
        <v>3278</v>
      </c>
      <c r="D466" s="13" t="s">
        <v>536</v>
      </c>
      <c r="E466" s="4" t="s">
        <v>538</v>
      </c>
      <c r="F466" s="4" t="s">
        <v>537</v>
      </c>
      <c r="G466" s="10" t="s">
        <v>27</v>
      </c>
      <c r="H466" s="4">
        <v>1171</v>
      </c>
      <c r="I466" s="5">
        <f t="shared" si="42"/>
        <v>914.3801306993563</v>
      </c>
      <c r="J466" s="4">
        <v>1665</v>
      </c>
      <c r="K466" s="5">
        <f t="shared" si="43"/>
        <v>898.88586740866594</v>
      </c>
      <c r="L466" s="5">
        <v>0</v>
      </c>
      <c r="M466" s="5">
        <v>0</v>
      </c>
      <c r="N466" s="4">
        <v>0</v>
      </c>
      <c r="O466" s="5">
        <f t="shared" si="44"/>
        <v>0</v>
      </c>
      <c r="P466" s="4">
        <v>0</v>
      </c>
      <c r="Q466" s="4">
        <v>0</v>
      </c>
      <c r="R466" s="4">
        <v>0</v>
      </c>
      <c r="S466" s="5">
        <f t="shared" si="45"/>
        <v>0</v>
      </c>
      <c r="T466" s="5">
        <f t="shared" si="46"/>
        <v>0.9830548994116487</v>
      </c>
      <c r="U466" s="5">
        <f t="shared" si="47"/>
        <v>0</v>
      </c>
      <c r="V466" s="4" t="s">
        <v>21</v>
      </c>
      <c r="W466" s="4" t="s">
        <v>21</v>
      </c>
      <c r="X466" s="4" t="s">
        <v>21</v>
      </c>
      <c r="Y466" s="4" t="s">
        <v>21</v>
      </c>
      <c r="Z466" s="4">
        <v>0</v>
      </c>
      <c r="AA466" s="4">
        <v>0</v>
      </c>
      <c r="AB466" s="4">
        <v>0</v>
      </c>
      <c r="AC466" s="4">
        <v>0</v>
      </c>
      <c r="AD466" s="4"/>
      <c r="AE466" s="54">
        <v>1.6856193542480471E-3</v>
      </c>
      <c r="AF466" s="54">
        <v>0.83357608318328857</v>
      </c>
    </row>
    <row r="467" spans="1:32" x14ac:dyDescent="0.2">
      <c r="A467" s="53" t="s">
        <v>2243</v>
      </c>
      <c r="B467" s="53" t="s">
        <v>2426</v>
      </c>
      <c r="C467" s="54" t="s">
        <v>3279</v>
      </c>
      <c r="D467" s="13" t="s">
        <v>539</v>
      </c>
      <c r="E467" s="4" t="s">
        <v>541</v>
      </c>
      <c r="F467" s="4" t="s">
        <v>540</v>
      </c>
      <c r="G467" s="10" t="s">
        <v>27</v>
      </c>
      <c r="H467" s="4">
        <v>731</v>
      </c>
      <c r="I467" s="5">
        <f t="shared" si="42"/>
        <v>570.80433436484157</v>
      </c>
      <c r="J467" s="4">
        <v>3071</v>
      </c>
      <c r="K467" s="5">
        <f t="shared" si="43"/>
        <v>1657.9450443315393</v>
      </c>
      <c r="L467" s="5">
        <v>0</v>
      </c>
      <c r="M467" s="5">
        <v>0</v>
      </c>
      <c r="N467" s="4">
        <v>0</v>
      </c>
      <c r="O467" s="5">
        <f t="shared" si="44"/>
        <v>0</v>
      </c>
      <c r="P467" s="4">
        <v>0</v>
      </c>
      <c r="Q467" s="4">
        <v>0</v>
      </c>
      <c r="R467" s="4">
        <v>0</v>
      </c>
      <c r="S467" s="5">
        <f t="shared" si="45"/>
        <v>0</v>
      </c>
      <c r="T467" s="5">
        <f t="shared" si="46"/>
        <v>2.9045768304762536</v>
      </c>
      <c r="U467" s="5">
        <f t="shared" si="47"/>
        <v>0</v>
      </c>
      <c r="V467" s="4">
        <v>36</v>
      </c>
      <c r="W467" s="4">
        <v>-13</v>
      </c>
      <c r="X467" s="4">
        <v>36</v>
      </c>
      <c r="Y467" s="4">
        <v>-10</v>
      </c>
      <c r="Z467" s="4">
        <v>0</v>
      </c>
      <c r="AA467" s="4">
        <v>0</v>
      </c>
      <c r="AB467" s="4">
        <v>0</v>
      </c>
      <c r="AC467" s="4">
        <v>0</v>
      </c>
      <c r="AD467" s="4"/>
      <c r="AE467" s="54">
        <v>-2.9473304748535161E-3</v>
      </c>
      <c r="AF467" s="54">
        <v>-0.94176918268203735</v>
      </c>
    </row>
    <row r="468" spans="1:32" x14ac:dyDescent="0.2">
      <c r="A468" s="53" t="s">
        <v>2243</v>
      </c>
      <c r="B468" s="53" t="s">
        <v>2427</v>
      </c>
      <c r="C468" s="54" t="s">
        <v>3280</v>
      </c>
      <c r="D468" s="13" t="s">
        <v>1986</v>
      </c>
      <c r="E468" s="4" t="s">
        <v>1988</v>
      </c>
      <c r="F468" s="4" t="s">
        <v>1987</v>
      </c>
      <c r="G468" s="10" t="s">
        <v>27</v>
      </c>
      <c r="H468" s="4">
        <v>615</v>
      </c>
      <c r="I468" s="5">
        <f t="shared" si="42"/>
        <v>480.22526078574219</v>
      </c>
      <c r="J468" s="4">
        <v>3292</v>
      </c>
      <c r="K468" s="5">
        <f t="shared" si="43"/>
        <v>1777.2566219275245</v>
      </c>
      <c r="L468" s="5">
        <v>0</v>
      </c>
      <c r="M468" s="5">
        <v>0</v>
      </c>
      <c r="N468" s="4">
        <v>0</v>
      </c>
      <c r="O468" s="5">
        <f t="shared" si="44"/>
        <v>0</v>
      </c>
      <c r="P468" s="4">
        <v>0</v>
      </c>
      <c r="Q468" s="4">
        <v>0</v>
      </c>
      <c r="R468" s="4">
        <v>0</v>
      </c>
      <c r="S468" s="5">
        <f t="shared" si="45"/>
        <v>0</v>
      </c>
      <c r="T468" s="5">
        <f t="shared" si="46"/>
        <v>3.7008811636014025</v>
      </c>
      <c r="U468" s="5">
        <f t="shared" si="47"/>
        <v>0</v>
      </c>
      <c r="V468" s="4">
        <v>-10</v>
      </c>
      <c r="W468" s="4">
        <v>41</v>
      </c>
      <c r="X468" s="4">
        <v>-47</v>
      </c>
      <c r="Y468" s="4">
        <v>-3</v>
      </c>
      <c r="Z468" s="4">
        <v>0</v>
      </c>
      <c r="AA468" s="4">
        <v>0</v>
      </c>
      <c r="AB468" s="4">
        <v>0</v>
      </c>
      <c r="AC468" s="4">
        <v>0</v>
      </c>
      <c r="AD468" s="4"/>
      <c r="AE468" s="54">
        <v>-5.4383277893066406E-4</v>
      </c>
      <c r="AF468" s="54">
        <v>-0.50330859422683716</v>
      </c>
    </row>
    <row r="469" spans="1:32" x14ac:dyDescent="0.2">
      <c r="A469" s="53" t="s">
        <v>2243</v>
      </c>
      <c r="B469" s="53" t="s">
        <v>2428</v>
      </c>
      <c r="C469" s="54" t="s">
        <v>3281</v>
      </c>
      <c r="D469" s="13" t="s">
        <v>136</v>
      </c>
      <c r="E469" s="4" t="s">
        <v>138</v>
      </c>
      <c r="F469" s="4" t="s">
        <v>137</v>
      </c>
      <c r="G469" s="10" t="s">
        <v>27</v>
      </c>
      <c r="H469" s="4">
        <v>197</v>
      </c>
      <c r="I469" s="5">
        <f t="shared" si="42"/>
        <v>153.82825426795321</v>
      </c>
      <c r="J469" s="4">
        <v>2561</v>
      </c>
      <c r="K469" s="5">
        <f t="shared" si="43"/>
        <v>1382.6106344946506</v>
      </c>
      <c r="L469" s="5">
        <v>0</v>
      </c>
      <c r="M469" s="5">
        <v>0</v>
      </c>
      <c r="N469" s="4">
        <v>0</v>
      </c>
      <c r="O469" s="5">
        <f t="shared" si="44"/>
        <v>0</v>
      </c>
      <c r="P469" s="4">
        <v>0</v>
      </c>
      <c r="Q469" s="4">
        <v>0</v>
      </c>
      <c r="R469" s="4">
        <v>0</v>
      </c>
      <c r="S469" s="5">
        <f t="shared" si="45"/>
        <v>0</v>
      </c>
      <c r="T469" s="5">
        <f t="shared" si="46"/>
        <v>8.9880148551012162</v>
      </c>
      <c r="U469" s="5">
        <f t="shared" si="47"/>
        <v>0</v>
      </c>
      <c r="V469" s="4">
        <v>-14</v>
      </c>
      <c r="W469" s="4">
        <v>-2</v>
      </c>
      <c r="X469" s="4">
        <v>-14</v>
      </c>
      <c r="Y469" s="4">
        <v>28</v>
      </c>
      <c r="Z469" s="4">
        <v>0.02</v>
      </c>
      <c r="AA469" s="4">
        <v>0</v>
      </c>
      <c r="AB469" s="4">
        <v>0</v>
      </c>
      <c r="AC469" s="4">
        <v>0</v>
      </c>
      <c r="AD469" s="4"/>
      <c r="AE469" s="54">
        <v>1.850366592407227E-3</v>
      </c>
      <c r="AF469" s="54">
        <v>0.85661661624908447</v>
      </c>
    </row>
    <row r="470" spans="1:32" x14ac:dyDescent="0.2">
      <c r="A470" s="53" t="s">
        <v>2243</v>
      </c>
      <c r="B470" s="53" t="s">
        <v>2429</v>
      </c>
      <c r="C470" s="54" t="s">
        <v>3282</v>
      </c>
      <c r="D470" s="13" t="s">
        <v>542</v>
      </c>
      <c r="E470" s="4" t="s">
        <v>544</v>
      </c>
      <c r="F470" s="4" t="s">
        <v>543</v>
      </c>
      <c r="G470" s="10" t="s">
        <v>27</v>
      </c>
      <c r="H470" s="4">
        <v>643</v>
      </c>
      <c r="I470" s="5">
        <f t="shared" si="42"/>
        <v>502.08917509793861</v>
      </c>
      <c r="J470" s="4">
        <v>2272</v>
      </c>
      <c r="K470" s="5">
        <f t="shared" si="43"/>
        <v>1226.587802253747</v>
      </c>
      <c r="L470" s="5">
        <v>0</v>
      </c>
      <c r="M470" s="5">
        <v>0</v>
      </c>
      <c r="N470" s="4">
        <v>0</v>
      </c>
      <c r="O470" s="5">
        <f t="shared" si="44"/>
        <v>0</v>
      </c>
      <c r="P470" s="4">
        <v>0</v>
      </c>
      <c r="Q470" s="4">
        <v>0</v>
      </c>
      <c r="R470" s="4">
        <v>0</v>
      </c>
      <c r="S470" s="5">
        <f t="shared" si="45"/>
        <v>0</v>
      </c>
      <c r="T470" s="5">
        <f t="shared" si="46"/>
        <v>2.4429680285668103</v>
      </c>
      <c r="U470" s="5">
        <f t="shared" si="47"/>
        <v>0</v>
      </c>
      <c r="V470" s="4">
        <v>-1</v>
      </c>
      <c r="W470" s="4">
        <v>-20</v>
      </c>
      <c r="X470" s="4">
        <v>-20</v>
      </c>
      <c r="Y470" s="4">
        <v>49</v>
      </c>
      <c r="Z470" s="4">
        <v>0</v>
      </c>
      <c r="AA470" s="4">
        <v>0</v>
      </c>
      <c r="AB470" s="4">
        <v>0</v>
      </c>
      <c r="AC470" s="4">
        <v>0</v>
      </c>
      <c r="AD470" s="4"/>
      <c r="AE470" s="54">
        <v>1.9073486328125E-5</v>
      </c>
      <c r="AF470" s="54">
        <v>9.2026785016059875E-2</v>
      </c>
    </row>
    <row r="471" spans="1:32" x14ac:dyDescent="0.2">
      <c r="A471" s="53" t="s">
        <v>2243</v>
      </c>
      <c r="B471" s="53" t="s">
        <v>2430</v>
      </c>
      <c r="C471" s="54" t="s">
        <v>3283</v>
      </c>
      <c r="D471" s="13" t="s">
        <v>215</v>
      </c>
      <c r="E471" s="4" t="s">
        <v>217</v>
      </c>
      <c r="F471" s="4" t="s">
        <v>216</v>
      </c>
      <c r="G471" s="10" t="s">
        <v>27</v>
      </c>
      <c r="H471" s="4">
        <v>2193</v>
      </c>
      <c r="I471" s="5">
        <f t="shared" si="42"/>
        <v>1712.4130030945248</v>
      </c>
      <c r="J471" s="4">
        <v>1226</v>
      </c>
      <c r="K471" s="5">
        <f t="shared" si="43"/>
        <v>661.88232639220678</v>
      </c>
      <c r="L471" s="5">
        <v>0</v>
      </c>
      <c r="M471" s="5">
        <v>0</v>
      </c>
      <c r="N471" s="4">
        <v>0</v>
      </c>
      <c r="O471" s="5">
        <f t="shared" si="44"/>
        <v>0</v>
      </c>
      <c r="P471" s="4">
        <v>0</v>
      </c>
      <c r="Q471" s="4">
        <v>0</v>
      </c>
      <c r="R471" s="4">
        <v>0</v>
      </c>
      <c r="S471" s="5">
        <f t="shared" si="45"/>
        <v>0</v>
      </c>
      <c r="T471" s="5">
        <f t="shared" si="46"/>
        <v>0.38652026420969138</v>
      </c>
      <c r="U471" s="5">
        <f t="shared" si="47"/>
        <v>0</v>
      </c>
      <c r="V471" s="4">
        <v>-35</v>
      </c>
      <c r="W471" s="4">
        <v>-27</v>
      </c>
      <c r="X471" s="4">
        <v>1</v>
      </c>
      <c r="Y471" s="4">
        <v>42</v>
      </c>
      <c r="Z471" s="4">
        <v>0</v>
      </c>
      <c r="AA471" s="4">
        <v>0.01</v>
      </c>
      <c r="AB471" s="4">
        <v>0</v>
      </c>
      <c r="AC471" s="4">
        <v>0</v>
      </c>
      <c r="AD471" s="4"/>
      <c r="AE471" s="54">
        <v>2.221584320068359E-2</v>
      </c>
      <c r="AF471" s="54">
        <v>0.99952828884124756</v>
      </c>
    </row>
    <row r="472" spans="1:32" x14ac:dyDescent="0.2">
      <c r="A472" s="53" t="s">
        <v>2243</v>
      </c>
      <c r="B472" s="53" t="s">
        <v>2423</v>
      </c>
      <c r="C472" s="54" t="s">
        <v>3284</v>
      </c>
      <c r="D472" s="13" t="s">
        <v>533</v>
      </c>
      <c r="E472" s="4" t="s">
        <v>535</v>
      </c>
      <c r="F472" s="4" t="s">
        <v>534</v>
      </c>
      <c r="G472" s="10" t="s">
        <v>27</v>
      </c>
      <c r="H472" s="4">
        <v>139</v>
      </c>
      <c r="I472" s="5">
        <f t="shared" si="42"/>
        <v>108.53871747840353</v>
      </c>
      <c r="J472" s="4">
        <v>4020</v>
      </c>
      <c r="K472" s="5">
        <f t="shared" si="43"/>
        <v>2170.2829951848871</v>
      </c>
      <c r="L472" s="5">
        <v>0</v>
      </c>
      <c r="M472" s="5">
        <v>0</v>
      </c>
      <c r="N472" s="4">
        <v>0</v>
      </c>
      <c r="O472" s="5">
        <f t="shared" si="44"/>
        <v>0</v>
      </c>
      <c r="P472" s="4">
        <v>0</v>
      </c>
      <c r="Q472" s="4">
        <v>0</v>
      </c>
      <c r="R472" s="4">
        <v>0</v>
      </c>
      <c r="S472" s="5">
        <f t="shared" si="45"/>
        <v>0</v>
      </c>
      <c r="T472" s="5">
        <f t="shared" si="46"/>
        <v>19.995473003600939</v>
      </c>
      <c r="U472" s="5">
        <f t="shared" si="47"/>
        <v>0</v>
      </c>
      <c r="V472" s="4">
        <v>-48</v>
      </c>
      <c r="W472" s="4">
        <v>-3</v>
      </c>
      <c r="X472" s="4">
        <v>-48</v>
      </c>
      <c r="Y472" s="4">
        <v>36</v>
      </c>
      <c r="Z472" s="4">
        <v>0</v>
      </c>
      <c r="AA472" s="4">
        <v>0</v>
      </c>
      <c r="AB472" s="4">
        <v>0</v>
      </c>
      <c r="AC472" s="4">
        <v>0</v>
      </c>
      <c r="AD472" s="4"/>
      <c r="AE472" s="54">
        <v>3.528594970703125E-4</v>
      </c>
      <c r="AF472" s="54">
        <v>0.41229036450386047</v>
      </c>
    </row>
    <row r="473" spans="1:32" x14ac:dyDescent="0.2">
      <c r="A473" s="53" t="s">
        <v>2243</v>
      </c>
      <c r="B473" s="53" t="s">
        <v>2422</v>
      </c>
      <c r="C473" s="54" t="s">
        <v>3285</v>
      </c>
      <c r="D473" s="13" t="s">
        <v>1494</v>
      </c>
      <c r="E473" s="4" t="s">
        <v>1496</v>
      </c>
      <c r="F473" s="4" t="s">
        <v>1495</v>
      </c>
      <c r="G473" s="10" t="s">
        <v>27</v>
      </c>
      <c r="H473" s="4">
        <v>911</v>
      </c>
      <c r="I473" s="5">
        <f t="shared" si="42"/>
        <v>711.35806922896131</v>
      </c>
      <c r="J473" s="4">
        <v>1947</v>
      </c>
      <c r="K473" s="5">
        <f t="shared" si="43"/>
        <v>1051.1295999067104</v>
      </c>
      <c r="L473" s="5">
        <v>0</v>
      </c>
      <c r="M473" s="5">
        <v>0</v>
      </c>
      <c r="N473" s="4">
        <v>0</v>
      </c>
      <c r="O473" s="5">
        <f t="shared" si="44"/>
        <v>0</v>
      </c>
      <c r="P473" s="4">
        <v>0</v>
      </c>
      <c r="Q473" s="4">
        <v>0</v>
      </c>
      <c r="R473" s="4">
        <v>0</v>
      </c>
      <c r="S473" s="5">
        <f t="shared" si="45"/>
        <v>0</v>
      </c>
      <c r="T473" s="5">
        <f t="shared" si="46"/>
        <v>1.4776378386289009</v>
      </c>
      <c r="U473" s="5">
        <f t="shared" si="47"/>
        <v>0</v>
      </c>
      <c r="V473" s="4">
        <v>-3</v>
      </c>
      <c r="W473" s="4">
        <v>-38</v>
      </c>
      <c r="X473" s="4">
        <v>2</v>
      </c>
      <c r="Y473" s="4">
        <v>-38</v>
      </c>
      <c r="Z473" s="4">
        <v>0</v>
      </c>
      <c r="AA473" s="4">
        <v>0</v>
      </c>
      <c r="AB473" s="4">
        <v>0</v>
      </c>
      <c r="AC473" s="4">
        <v>0</v>
      </c>
      <c r="AD473" s="4"/>
      <c r="AE473" s="54">
        <v>-7.2216987609863281E-4</v>
      </c>
      <c r="AF473" s="54">
        <v>-0.58437919616699219</v>
      </c>
    </row>
    <row r="474" spans="1:32" x14ac:dyDescent="0.2">
      <c r="A474" s="53" t="s">
        <v>2243</v>
      </c>
      <c r="B474" s="53" t="s">
        <v>2421</v>
      </c>
      <c r="C474" s="54" t="s">
        <v>3286</v>
      </c>
      <c r="D474" s="13" t="s">
        <v>1983</v>
      </c>
      <c r="E474" s="4" t="s">
        <v>1985</v>
      </c>
      <c r="F474" s="4" t="s">
        <v>1984</v>
      </c>
      <c r="G474" s="10" t="s">
        <v>27</v>
      </c>
      <c r="H474" s="4">
        <v>2550</v>
      </c>
      <c r="I474" s="5">
        <f t="shared" si="42"/>
        <v>1991.1779105750288</v>
      </c>
      <c r="J474" s="4">
        <v>4529</v>
      </c>
      <c r="K474" s="5">
        <f t="shared" si="43"/>
        <v>2445.0775336299389</v>
      </c>
      <c r="L474" s="5">
        <v>0</v>
      </c>
      <c r="M474" s="5">
        <v>0</v>
      </c>
      <c r="N474" s="4">
        <v>0</v>
      </c>
      <c r="O474" s="5">
        <f t="shared" si="44"/>
        <v>0</v>
      </c>
      <c r="P474" s="4">
        <v>0</v>
      </c>
      <c r="Q474" s="4">
        <v>0</v>
      </c>
      <c r="R474" s="4">
        <v>0</v>
      </c>
      <c r="S474" s="5">
        <f t="shared" si="45"/>
        <v>0</v>
      </c>
      <c r="T474" s="5">
        <f t="shared" si="46"/>
        <v>1.2279553326924109</v>
      </c>
      <c r="U474" s="5">
        <f t="shared" si="47"/>
        <v>0</v>
      </c>
      <c r="V474" s="4">
        <v>11</v>
      </c>
      <c r="W474" s="4">
        <v>0</v>
      </c>
      <c r="X474" s="4">
        <v>-10</v>
      </c>
      <c r="Y474" s="4">
        <v>2</v>
      </c>
      <c r="Z474" s="4">
        <v>0</v>
      </c>
      <c r="AA474" s="4">
        <v>0</v>
      </c>
      <c r="AB474" s="4">
        <v>0</v>
      </c>
      <c r="AC474" s="4">
        <v>0</v>
      </c>
      <c r="AD474" s="4"/>
      <c r="AE474" s="54">
        <v>3.7789344787597662E-4</v>
      </c>
      <c r="AF474" s="54">
        <v>0.42181968688964838</v>
      </c>
    </row>
    <row r="475" spans="1:32" x14ac:dyDescent="0.2">
      <c r="A475" s="53" t="s">
        <v>2243</v>
      </c>
      <c r="B475" s="53" t="s">
        <v>2420</v>
      </c>
      <c r="C475" s="54" t="s">
        <v>3287</v>
      </c>
      <c r="D475" s="13" t="s">
        <v>1980</v>
      </c>
      <c r="E475" s="4" t="s">
        <v>1982</v>
      </c>
      <c r="F475" s="4" t="s">
        <v>1981</v>
      </c>
      <c r="G475" s="10" t="s">
        <v>27</v>
      </c>
      <c r="H475" s="4">
        <v>593</v>
      </c>
      <c r="I475" s="5">
        <f t="shared" si="42"/>
        <v>463.04647096901653</v>
      </c>
      <c r="J475" s="4">
        <v>1927</v>
      </c>
      <c r="K475" s="5">
        <f t="shared" si="43"/>
        <v>1040.3321720699696</v>
      </c>
      <c r="L475" s="5">
        <v>0</v>
      </c>
      <c r="M475" s="5">
        <v>0</v>
      </c>
      <c r="N475" s="4">
        <v>0</v>
      </c>
      <c r="O475" s="5">
        <f t="shared" si="44"/>
        <v>0</v>
      </c>
      <c r="P475" s="4">
        <v>0</v>
      </c>
      <c r="Q475" s="4">
        <v>0</v>
      </c>
      <c r="R475" s="4">
        <v>0</v>
      </c>
      <c r="S475" s="5">
        <f t="shared" si="45"/>
        <v>0</v>
      </c>
      <c r="T475" s="5">
        <f t="shared" si="46"/>
        <v>2.2467122357997207</v>
      </c>
      <c r="U475" s="5">
        <f t="shared" si="47"/>
        <v>0</v>
      </c>
      <c r="V475" s="4">
        <v>-42</v>
      </c>
      <c r="W475" s="4">
        <v>14</v>
      </c>
      <c r="X475" s="4">
        <v>13</v>
      </c>
      <c r="Y475" s="4">
        <v>-19</v>
      </c>
      <c r="Z475" s="4">
        <v>0</v>
      </c>
      <c r="AA475" s="4">
        <v>0</v>
      </c>
      <c r="AB475" s="4">
        <v>0</v>
      </c>
      <c r="AC475" s="4">
        <v>0</v>
      </c>
      <c r="AD475" s="4"/>
      <c r="AE475" s="54">
        <v>2.8276443481445308E-3</v>
      </c>
      <c r="AF475" s="54">
        <v>0.93631863594055176</v>
      </c>
    </row>
    <row r="476" spans="1:32" x14ac:dyDescent="0.2">
      <c r="A476" s="53" t="s">
        <v>2243</v>
      </c>
      <c r="B476" s="53" t="s">
        <v>2419</v>
      </c>
      <c r="C476" s="54" t="s">
        <v>3288</v>
      </c>
      <c r="D476" s="13" t="s">
        <v>1001</v>
      </c>
      <c r="E476" s="4" t="s">
        <v>1003</v>
      </c>
      <c r="F476" s="4" t="s">
        <v>1002</v>
      </c>
      <c r="G476" s="10" t="s">
        <v>27</v>
      </c>
      <c r="H476" s="4">
        <v>231</v>
      </c>
      <c r="I476" s="5">
        <f t="shared" si="42"/>
        <v>180.37729307562026</v>
      </c>
      <c r="J476" s="4">
        <v>970</v>
      </c>
      <c r="K476" s="5">
        <f t="shared" si="43"/>
        <v>523.67525008192547</v>
      </c>
      <c r="L476" s="5">
        <v>0</v>
      </c>
      <c r="M476" s="5">
        <v>0</v>
      </c>
      <c r="N476" s="4">
        <v>0</v>
      </c>
      <c r="O476" s="5">
        <f t="shared" si="44"/>
        <v>0</v>
      </c>
      <c r="P476" s="4">
        <v>0</v>
      </c>
      <c r="Q476" s="4">
        <v>0</v>
      </c>
      <c r="R476" s="4">
        <v>0</v>
      </c>
      <c r="S476" s="5">
        <f t="shared" si="45"/>
        <v>0</v>
      </c>
      <c r="T476" s="5">
        <f t="shared" si="46"/>
        <v>2.9032215815678257</v>
      </c>
      <c r="U476" s="5">
        <f t="shared" si="47"/>
        <v>0</v>
      </c>
      <c r="V476" s="4">
        <v>-38</v>
      </c>
      <c r="W476" s="4">
        <v>-1</v>
      </c>
      <c r="X476" s="4">
        <v>37</v>
      </c>
      <c r="Y476" s="4">
        <v>-1</v>
      </c>
      <c r="Z476" s="4">
        <v>0</v>
      </c>
      <c r="AA476" s="4">
        <v>0</v>
      </c>
      <c r="AB476" s="4">
        <v>0</v>
      </c>
      <c r="AC476" s="4">
        <v>0</v>
      </c>
      <c r="AD476" s="4"/>
      <c r="AE476" s="54">
        <v>4.6927928924560547E-3</v>
      </c>
      <c r="AF476" s="54">
        <v>0.98474270105361938</v>
      </c>
    </row>
    <row r="477" spans="1:32" x14ac:dyDescent="0.2">
      <c r="A477" s="53" t="s">
        <v>2243</v>
      </c>
      <c r="B477" s="53" t="s">
        <v>2418</v>
      </c>
      <c r="C477" s="54" t="s">
        <v>3289</v>
      </c>
      <c r="D477" s="13" t="s">
        <v>1491</v>
      </c>
      <c r="E477" s="4" t="s">
        <v>1493</v>
      </c>
      <c r="F477" s="4" t="s">
        <v>1492</v>
      </c>
      <c r="G477" s="10" t="s">
        <v>27</v>
      </c>
      <c r="H477" s="4">
        <v>700</v>
      </c>
      <c r="I477" s="5">
        <f t="shared" si="42"/>
        <v>546.59785780490995</v>
      </c>
      <c r="J477" s="4">
        <v>1023</v>
      </c>
      <c r="K477" s="5">
        <f t="shared" si="43"/>
        <v>552.28843384928837</v>
      </c>
      <c r="L477" s="5">
        <v>0</v>
      </c>
      <c r="M477" s="5">
        <v>0</v>
      </c>
      <c r="N477" s="4">
        <v>0</v>
      </c>
      <c r="O477" s="5">
        <f t="shared" si="44"/>
        <v>0</v>
      </c>
      <c r="P477" s="4">
        <v>0</v>
      </c>
      <c r="Q477" s="4">
        <v>0</v>
      </c>
      <c r="R477" s="4">
        <v>0</v>
      </c>
      <c r="S477" s="5">
        <f t="shared" si="45"/>
        <v>0</v>
      </c>
      <c r="T477" s="5">
        <f t="shared" si="46"/>
        <v>1.010410900743796</v>
      </c>
      <c r="U477" s="5">
        <f t="shared" si="47"/>
        <v>0</v>
      </c>
      <c r="V477" s="4">
        <v>-5</v>
      </c>
      <c r="W477" s="4">
        <v>-2</v>
      </c>
      <c r="X477" s="4">
        <v>-19</v>
      </c>
      <c r="Y477" s="4">
        <v>4</v>
      </c>
      <c r="Z477" s="4">
        <v>0</v>
      </c>
      <c r="AA477" s="4">
        <v>0</v>
      </c>
      <c r="AB477" s="4">
        <v>0</v>
      </c>
      <c r="AC477" s="4">
        <v>0</v>
      </c>
      <c r="AD477" s="4"/>
      <c r="AE477" s="54">
        <v>6.4969062805175781E-4</v>
      </c>
      <c r="AF477" s="54">
        <v>0.56112885475158691</v>
      </c>
    </row>
    <row r="478" spans="1:32" x14ac:dyDescent="0.2">
      <c r="A478" s="53" t="s">
        <v>2243</v>
      </c>
      <c r="B478" s="53" t="s">
        <v>2417</v>
      </c>
      <c r="C478" s="54" t="s">
        <v>3290</v>
      </c>
      <c r="D478" s="13" t="s">
        <v>1262</v>
      </c>
      <c r="E478" s="4" t="s">
        <v>1264</v>
      </c>
      <c r="F478" s="4" t="s">
        <v>1263</v>
      </c>
      <c r="G478" s="4" t="s">
        <v>27</v>
      </c>
      <c r="H478" s="4">
        <v>989</v>
      </c>
      <c r="I478" s="5">
        <f t="shared" si="42"/>
        <v>772.26468767007975</v>
      </c>
      <c r="J478" s="4">
        <v>4635</v>
      </c>
      <c r="K478" s="5">
        <f t="shared" si="43"/>
        <v>2502.3039011646647</v>
      </c>
      <c r="L478" s="5">
        <v>0</v>
      </c>
      <c r="M478" s="5">
        <v>0</v>
      </c>
      <c r="N478" s="4">
        <v>0</v>
      </c>
      <c r="O478" s="5">
        <f t="shared" si="44"/>
        <v>0</v>
      </c>
      <c r="P478" s="4">
        <v>0</v>
      </c>
      <c r="Q478" s="4">
        <v>0</v>
      </c>
      <c r="R478" s="4">
        <v>0</v>
      </c>
      <c r="S478" s="5">
        <f t="shared" si="45"/>
        <v>0</v>
      </c>
      <c r="T478" s="5">
        <f t="shared" si="46"/>
        <v>3.2402153576568522</v>
      </c>
      <c r="U478" s="5">
        <f t="shared" si="47"/>
        <v>0</v>
      </c>
      <c r="V478" s="4">
        <v>-4</v>
      </c>
      <c r="W478" s="4">
        <v>-1</v>
      </c>
      <c r="X478" s="4">
        <v>-18</v>
      </c>
      <c r="Y478" s="4">
        <v>5</v>
      </c>
      <c r="Z478" s="4">
        <v>0</v>
      </c>
      <c r="AA478" s="4">
        <v>0</v>
      </c>
      <c r="AB478" s="4">
        <v>0</v>
      </c>
      <c r="AC478" s="4">
        <v>0</v>
      </c>
      <c r="AD478" s="4"/>
      <c r="AE478" s="54">
        <v>-3.2641887664794922E-3</v>
      </c>
      <c r="AF478" s="54">
        <v>-0.95452463626861572</v>
      </c>
    </row>
    <row r="479" spans="1:32" x14ac:dyDescent="0.2">
      <c r="A479" s="53" t="s">
        <v>2243</v>
      </c>
      <c r="B479" s="53" t="s">
        <v>2416</v>
      </c>
      <c r="C479" s="54" t="s">
        <v>3291</v>
      </c>
      <c r="D479" s="13" t="s">
        <v>1977</v>
      </c>
      <c r="E479" s="4" t="s">
        <v>1979</v>
      </c>
      <c r="F479" s="4" t="s">
        <v>1978</v>
      </c>
      <c r="G479" s="10" t="s">
        <v>27</v>
      </c>
      <c r="H479" s="4">
        <v>238</v>
      </c>
      <c r="I479" s="5">
        <f t="shared" si="42"/>
        <v>185.84327165366935</v>
      </c>
      <c r="J479" s="4">
        <v>3370</v>
      </c>
      <c r="K479" s="5">
        <f t="shared" si="43"/>
        <v>1819.3665904908135</v>
      </c>
      <c r="L479" s="5">
        <v>0</v>
      </c>
      <c r="M479" s="5">
        <v>0</v>
      </c>
      <c r="N479" s="4">
        <v>0</v>
      </c>
      <c r="O479" s="5">
        <f t="shared" si="44"/>
        <v>0</v>
      </c>
      <c r="P479" s="4">
        <v>0</v>
      </c>
      <c r="Q479" s="4">
        <v>0</v>
      </c>
      <c r="R479" s="4">
        <v>0</v>
      </c>
      <c r="S479" s="5">
        <f t="shared" si="45"/>
        <v>0</v>
      </c>
      <c r="T479" s="5">
        <f t="shared" si="46"/>
        <v>9.7897899359053344</v>
      </c>
      <c r="U479" s="5">
        <f t="shared" si="47"/>
        <v>0</v>
      </c>
      <c r="V479" s="4">
        <v>5</v>
      </c>
      <c r="W479" s="4">
        <v>10</v>
      </c>
      <c r="X479" s="4">
        <v>-14</v>
      </c>
      <c r="Y479" s="4">
        <v>-32</v>
      </c>
      <c r="Z479" s="4">
        <v>0</v>
      </c>
      <c r="AA479" s="4">
        <v>0</v>
      </c>
      <c r="AB479" s="4">
        <v>0</v>
      </c>
      <c r="AC479" s="4">
        <v>0</v>
      </c>
      <c r="AD479" s="4"/>
      <c r="AE479" s="54">
        <v>-8.9883804321289062E-4</v>
      </c>
      <c r="AF479" s="54">
        <v>-0.64861905574798584</v>
      </c>
    </row>
    <row r="480" spans="1:32" x14ac:dyDescent="0.2">
      <c r="A480" s="53" t="s">
        <v>2243</v>
      </c>
      <c r="B480" s="53" t="s">
        <v>2415</v>
      </c>
      <c r="C480" s="54" t="s">
        <v>3292</v>
      </c>
      <c r="D480" s="13" t="s">
        <v>1785</v>
      </c>
      <c r="E480" s="4" t="s">
        <v>1787</v>
      </c>
      <c r="F480" s="4" t="s">
        <v>1786</v>
      </c>
      <c r="G480" s="4" t="s">
        <v>27</v>
      </c>
      <c r="H480" s="4">
        <v>513</v>
      </c>
      <c r="I480" s="5">
        <f t="shared" si="42"/>
        <v>400.57814436274106</v>
      </c>
      <c r="J480" s="4">
        <v>5134</v>
      </c>
      <c r="K480" s="5">
        <f t="shared" si="43"/>
        <v>2771.699725691346</v>
      </c>
      <c r="L480" s="5">
        <v>0</v>
      </c>
      <c r="M480" s="5">
        <v>0</v>
      </c>
      <c r="N480" s="4">
        <v>0</v>
      </c>
      <c r="O480" s="5">
        <f t="shared" si="44"/>
        <v>0</v>
      </c>
      <c r="P480" s="4">
        <v>0</v>
      </c>
      <c r="Q480" s="4">
        <v>0</v>
      </c>
      <c r="R480" s="4">
        <v>0</v>
      </c>
      <c r="S480" s="5">
        <f t="shared" si="45"/>
        <v>0</v>
      </c>
      <c r="T480" s="5">
        <f t="shared" si="46"/>
        <v>6.9192485029374202</v>
      </c>
      <c r="U480" s="5">
        <f t="shared" si="47"/>
        <v>0</v>
      </c>
      <c r="V480" s="4">
        <v>39</v>
      </c>
      <c r="W480" s="4">
        <v>7</v>
      </c>
      <c r="X480" s="4">
        <v>-42</v>
      </c>
      <c r="Y480" s="4">
        <v>-3</v>
      </c>
      <c r="Z480" s="4">
        <v>0</v>
      </c>
      <c r="AA480" s="4">
        <v>0</v>
      </c>
      <c r="AB480" s="4">
        <v>0</v>
      </c>
      <c r="AC480" s="4">
        <v>0</v>
      </c>
      <c r="AD480" s="4"/>
      <c r="AE480" s="54">
        <v>1.717567443847656E-3</v>
      </c>
      <c r="AF480" s="54">
        <v>0.83706265687942505</v>
      </c>
    </row>
    <row r="481" spans="1:32" x14ac:dyDescent="0.2">
      <c r="A481" s="53" t="s">
        <v>2243</v>
      </c>
      <c r="B481" s="53" t="s">
        <v>2414</v>
      </c>
      <c r="C481" s="54" t="s">
        <v>3293</v>
      </c>
      <c r="D481" s="13" t="s">
        <v>1974</v>
      </c>
      <c r="E481" s="4" t="s">
        <v>1976</v>
      </c>
      <c r="F481" s="4" t="s">
        <v>1975</v>
      </c>
      <c r="G481" s="10" t="s">
        <v>27</v>
      </c>
      <c r="H481" s="4">
        <v>126</v>
      </c>
      <c r="I481" s="5">
        <f t="shared" si="42"/>
        <v>98.387614404883777</v>
      </c>
      <c r="J481" s="4">
        <v>671</v>
      </c>
      <c r="K481" s="5">
        <f t="shared" si="43"/>
        <v>362.25370392265154</v>
      </c>
      <c r="L481" s="5">
        <v>0</v>
      </c>
      <c r="M481" s="5">
        <v>0</v>
      </c>
      <c r="N481" s="4">
        <v>0</v>
      </c>
      <c r="O481" s="5">
        <f t="shared" si="44"/>
        <v>0</v>
      </c>
      <c r="P481" s="4">
        <v>0</v>
      </c>
      <c r="Q481" s="4">
        <v>0</v>
      </c>
      <c r="R481" s="4">
        <v>0</v>
      </c>
      <c r="S481" s="5">
        <f t="shared" si="45"/>
        <v>0</v>
      </c>
      <c r="T481" s="5">
        <f t="shared" si="46"/>
        <v>3.6819035212288869</v>
      </c>
      <c r="U481" s="5">
        <f t="shared" si="47"/>
        <v>0</v>
      </c>
      <c r="V481" s="4">
        <v>-14</v>
      </c>
      <c r="W481" s="4">
        <v>-2</v>
      </c>
      <c r="X481" s="4">
        <v>-14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/>
      <c r="AE481" s="54">
        <v>-3.070592880249023E-3</v>
      </c>
      <c r="AF481" s="54">
        <v>-0.94676601886749268</v>
      </c>
    </row>
    <row r="482" spans="1:32" x14ac:dyDescent="0.2">
      <c r="A482" s="53" t="s">
        <v>2243</v>
      </c>
      <c r="B482" s="53" t="s">
        <v>2413</v>
      </c>
      <c r="C482" s="54" t="s">
        <v>3294</v>
      </c>
      <c r="D482" s="13" t="s">
        <v>1488</v>
      </c>
      <c r="E482" s="4" t="s">
        <v>1490</v>
      </c>
      <c r="F482" s="4" t="s">
        <v>1489</v>
      </c>
      <c r="G482" s="10" t="s">
        <v>27</v>
      </c>
      <c r="H482" s="4">
        <v>200</v>
      </c>
      <c r="I482" s="5">
        <f t="shared" si="42"/>
        <v>156.17081651568853</v>
      </c>
      <c r="J482" s="4">
        <v>729</v>
      </c>
      <c r="K482" s="5">
        <f t="shared" si="43"/>
        <v>393.56624464919963</v>
      </c>
      <c r="L482" s="5">
        <v>0</v>
      </c>
      <c r="M482" s="5">
        <v>0</v>
      </c>
      <c r="N482" s="4">
        <v>0</v>
      </c>
      <c r="O482" s="5">
        <f t="shared" si="44"/>
        <v>0</v>
      </c>
      <c r="P482" s="4">
        <v>0</v>
      </c>
      <c r="Q482" s="4">
        <v>0</v>
      </c>
      <c r="R482" s="4">
        <v>0</v>
      </c>
      <c r="S482" s="5">
        <f t="shared" si="45"/>
        <v>0</v>
      </c>
      <c r="T482" s="5">
        <f t="shared" si="46"/>
        <v>2.5201010882187642</v>
      </c>
      <c r="U482" s="5">
        <f t="shared" si="47"/>
        <v>0</v>
      </c>
      <c r="V482" s="4">
        <v>-6</v>
      </c>
      <c r="W482" s="4">
        <v>15</v>
      </c>
      <c r="X482" s="4">
        <v>-6</v>
      </c>
      <c r="Y482" s="4">
        <v>-49</v>
      </c>
      <c r="Z482" s="4">
        <v>0</v>
      </c>
      <c r="AA482" s="4">
        <v>0</v>
      </c>
      <c r="AB482" s="4">
        <v>0</v>
      </c>
      <c r="AC482" s="4">
        <v>0</v>
      </c>
      <c r="AD482" s="4"/>
      <c r="AE482" s="54">
        <v>-2.9187440872192379E-2</v>
      </c>
      <c r="AF482" s="54">
        <v>-0.99960780143737793</v>
      </c>
    </row>
    <row r="483" spans="1:32" x14ac:dyDescent="0.2">
      <c r="A483" s="53" t="s">
        <v>2243</v>
      </c>
      <c r="B483" s="53" t="s">
        <v>2412</v>
      </c>
      <c r="C483" s="54" t="s">
        <v>3295</v>
      </c>
      <c r="D483" s="13" t="s">
        <v>1359</v>
      </c>
      <c r="E483" s="4" t="s">
        <v>1361</v>
      </c>
      <c r="F483" s="4" t="s">
        <v>1360</v>
      </c>
      <c r="G483" s="10" t="s">
        <v>27</v>
      </c>
      <c r="H483" s="4">
        <v>1323</v>
      </c>
      <c r="I483" s="5">
        <f t="shared" si="42"/>
        <v>1033.0699512512795</v>
      </c>
      <c r="J483" s="4">
        <v>1340</v>
      </c>
      <c r="K483" s="5">
        <f t="shared" si="43"/>
        <v>723.427665061629</v>
      </c>
      <c r="L483" s="5">
        <v>0</v>
      </c>
      <c r="M483" s="5">
        <v>0</v>
      </c>
      <c r="N483" s="4">
        <v>0</v>
      </c>
      <c r="O483" s="5">
        <f t="shared" si="44"/>
        <v>0</v>
      </c>
      <c r="P483" s="4">
        <v>0</v>
      </c>
      <c r="Q483" s="4">
        <v>0</v>
      </c>
      <c r="R483" s="4">
        <v>0</v>
      </c>
      <c r="S483" s="5">
        <f t="shared" si="45"/>
        <v>0</v>
      </c>
      <c r="T483" s="5">
        <f t="shared" si="46"/>
        <v>0.70026977765193521</v>
      </c>
      <c r="U483" s="5">
        <f t="shared" si="47"/>
        <v>0</v>
      </c>
      <c r="V483" s="4">
        <v>-3</v>
      </c>
      <c r="W483" s="4">
        <v>17</v>
      </c>
      <c r="X483" s="4">
        <v>-2</v>
      </c>
      <c r="Y483" s="4">
        <v>-38</v>
      </c>
      <c r="Z483" s="4">
        <v>0</v>
      </c>
      <c r="AA483" s="4">
        <v>0</v>
      </c>
      <c r="AB483" s="4">
        <v>0</v>
      </c>
      <c r="AC483" s="4">
        <v>0</v>
      </c>
      <c r="AD483" s="4"/>
      <c r="AE483" s="54">
        <v>-3.8211345672607422E-3</v>
      </c>
      <c r="AF483" s="54">
        <v>-0.97042572498321533</v>
      </c>
    </row>
    <row r="484" spans="1:32" x14ac:dyDescent="0.2">
      <c r="A484" s="53" t="s">
        <v>2243</v>
      </c>
      <c r="B484" s="53" t="s">
        <v>2409</v>
      </c>
      <c r="C484" s="54" t="s">
        <v>3296</v>
      </c>
      <c r="D484" s="13" t="s">
        <v>1619</v>
      </c>
      <c r="E484" s="4" t="s">
        <v>1621</v>
      </c>
      <c r="F484" s="4" t="s">
        <v>1620</v>
      </c>
      <c r="G484" s="10" t="s">
        <v>27</v>
      </c>
      <c r="H484" s="4">
        <v>306</v>
      </c>
      <c r="I484" s="5">
        <f t="shared" si="42"/>
        <v>238.94134926900344</v>
      </c>
      <c r="J484" s="4">
        <v>1425</v>
      </c>
      <c r="K484" s="5">
        <f t="shared" si="43"/>
        <v>769.31673336777715</v>
      </c>
      <c r="L484" s="5">
        <v>0</v>
      </c>
      <c r="M484" s="5">
        <v>0</v>
      </c>
      <c r="N484" s="4">
        <v>0</v>
      </c>
      <c r="O484" s="5">
        <f t="shared" si="44"/>
        <v>0</v>
      </c>
      <c r="P484" s="4">
        <v>0</v>
      </c>
      <c r="Q484" s="4">
        <v>0</v>
      </c>
      <c r="R484" s="4">
        <v>0</v>
      </c>
      <c r="S484" s="5">
        <f t="shared" si="45"/>
        <v>0</v>
      </c>
      <c r="T484" s="5">
        <f t="shared" si="46"/>
        <v>3.2196885793160472</v>
      </c>
      <c r="U484" s="5">
        <f t="shared" si="47"/>
        <v>0</v>
      </c>
      <c r="V484" s="4">
        <v>44</v>
      </c>
      <c r="W484" s="4">
        <v>-2</v>
      </c>
      <c r="X484" s="4">
        <v>38</v>
      </c>
      <c r="Y484" s="4">
        <v>10</v>
      </c>
      <c r="Z484" s="4">
        <v>0</v>
      </c>
      <c r="AA484" s="4">
        <v>0</v>
      </c>
      <c r="AB484" s="4">
        <v>0</v>
      </c>
      <c r="AC484" s="4">
        <v>0</v>
      </c>
      <c r="AD484" s="4"/>
      <c r="AE484" s="54">
        <v>-3.6597251892089838E-4</v>
      </c>
      <c r="AF484" s="54">
        <v>-0.41229036450386047</v>
      </c>
    </row>
    <row r="485" spans="1:32" x14ac:dyDescent="0.2">
      <c r="A485" s="53" t="s">
        <v>2243</v>
      </c>
      <c r="B485" s="53" t="s">
        <v>2410</v>
      </c>
      <c r="C485" s="54" t="s">
        <v>3297</v>
      </c>
      <c r="D485" s="13" t="s">
        <v>1971</v>
      </c>
      <c r="E485" s="4" t="s">
        <v>1973</v>
      </c>
      <c r="F485" s="4" t="s">
        <v>1972</v>
      </c>
      <c r="G485" s="10" t="s">
        <v>27</v>
      </c>
      <c r="H485" s="4">
        <v>1025</v>
      </c>
      <c r="I485" s="5">
        <f t="shared" si="42"/>
        <v>800.37543464290366</v>
      </c>
      <c r="J485" s="4">
        <v>1873</v>
      </c>
      <c r="K485" s="5">
        <f t="shared" si="43"/>
        <v>1011.1791169107695</v>
      </c>
      <c r="L485" s="5">
        <v>0</v>
      </c>
      <c r="M485" s="5">
        <v>0</v>
      </c>
      <c r="N485" s="4">
        <v>0</v>
      </c>
      <c r="O485" s="5">
        <f t="shared" si="44"/>
        <v>0</v>
      </c>
      <c r="P485" s="4">
        <v>0</v>
      </c>
      <c r="Q485" s="4">
        <v>0</v>
      </c>
      <c r="R485" s="4">
        <v>0</v>
      </c>
      <c r="S485" s="5">
        <f t="shared" si="45"/>
        <v>0</v>
      </c>
      <c r="T485" s="5">
        <f t="shared" si="46"/>
        <v>1.2633809998952781</v>
      </c>
      <c r="U485" s="5">
        <f t="shared" si="47"/>
        <v>0</v>
      </c>
      <c r="V485" s="4">
        <v>14</v>
      </c>
      <c r="W485" s="4">
        <v>-14</v>
      </c>
      <c r="X485" s="4">
        <v>14</v>
      </c>
      <c r="Y485" s="4">
        <v>3</v>
      </c>
      <c r="Z485" s="4">
        <v>0</v>
      </c>
      <c r="AA485" s="4">
        <v>0</v>
      </c>
      <c r="AB485" s="4">
        <v>0</v>
      </c>
      <c r="AC485" s="4">
        <v>0</v>
      </c>
      <c r="AD485" s="4"/>
      <c r="AE485" s="54">
        <v>3.5681724548339839E-3</v>
      </c>
      <c r="AF485" s="54">
        <v>0.96533185243606567</v>
      </c>
    </row>
    <row r="486" spans="1:32" x14ac:dyDescent="0.2">
      <c r="A486" s="53" t="s">
        <v>2243</v>
      </c>
      <c r="B486" s="53" t="s">
        <v>2408</v>
      </c>
      <c r="C486" s="54" t="s">
        <v>3298</v>
      </c>
      <c r="D486" s="13" t="s">
        <v>998</v>
      </c>
      <c r="E486" s="4" t="s">
        <v>1000</v>
      </c>
      <c r="F486" s="4" t="s">
        <v>999</v>
      </c>
      <c r="G486" s="10" t="s">
        <v>27</v>
      </c>
      <c r="H486" s="4">
        <v>1336</v>
      </c>
      <c r="I486" s="5">
        <f t="shared" si="42"/>
        <v>1043.2210543247995</v>
      </c>
      <c r="J486" s="4">
        <v>3573</v>
      </c>
      <c r="K486" s="5">
        <f t="shared" si="43"/>
        <v>1928.9604830337316</v>
      </c>
      <c r="L486" s="5">
        <v>0</v>
      </c>
      <c r="M486" s="5">
        <v>0</v>
      </c>
      <c r="N486" s="4">
        <v>0</v>
      </c>
      <c r="O486" s="5">
        <f t="shared" si="44"/>
        <v>0</v>
      </c>
      <c r="P486" s="4">
        <v>0</v>
      </c>
      <c r="Q486" s="4">
        <v>0</v>
      </c>
      <c r="R486" s="4">
        <v>0</v>
      </c>
      <c r="S486" s="5">
        <f t="shared" si="45"/>
        <v>0</v>
      </c>
      <c r="T486" s="5">
        <f t="shared" si="46"/>
        <v>1.8490428994286414</v>
      </c>
      <c r="U486" s="5">
        <f t="shared" si="47"/>
        <v>0</v>
      </c>
      <c r="V486" s="4">
        <v>-19</v>
      </c>
      <c r="W486" s="4">
        <v>-28</v>
      </c>
      <c r="X486" s="4">
        <v>-28</v>
      </c>
      <c r="Y486" s="4">
        <v>27</v>
      </c>
      <c r="Z486" s="4">
        <v>0</v>
      </c>
      <c r="AA486" s="4">
        <v>0</v>
      </c>
      <c r="AB486" s="4">
        <v>0</v>
      </c>
      <c r="AC486" s="4">
        <v>0</v>
      </c>
      <c r="AD486" s="4"/>
      <c r="AE486" s="54">
        <v>-5.6753158569335938E-3</v>
      </c>
      <c r="AF486" s="54">
        <v>-0.9914013147354126</v>
      </c>
    </row>
    <row r="487" spans="1:32" x14ac:dyDescent="0.2">
      <c r="A487" s="53" t="s">
        <v>2243</v>
      </c>
      <c r="B487" s="53" t="s">
        <v>2407</v>
      </c>
      <c r="C487" s="54" t="s">
        <v>3299</v>
      </c>
      <c r="D487" s="13" t="s">
        <v>995</v>
      </c>
      <c r="E487" s="4" t="s">
        <v>997</v>
      </c>
      <c r="F487" s="4" t="s">
        <v>996</v>
      </c>
      <c r="G487" s="4" t="s">
        <v>27</v>
      </c>
      <c r="H487" s="4">
        <v>2191</v>
      </c>
      <c r="I487" s="5">
        <f t="shared" si="42"/>
        <v>1710.8512949293679</v>
      </c>
      <c r="J487" s="4">
        <v>4406</v>
      </c>
      <c r="K487" s="5">
        <f t="shared" si="43"/>
        <v>2378.6733524339829</v>
      </c>
      <c r="L487" s="5">
        <v>0</v>
      </c>
      <c r="M487" s="5">
        <v>0</v>
      </c>
      <c r="N487" s="4">
        <v>0</v>
      </c>
      <c r="O487" s="5">
        <f t="shared" si="44"/>
        <v>0</v>
      </c>
      <c r="P487" s="4">
        <v>0</v>
      </c>
      <c r="Q487" s="4">
        <v>0</v>
      </c>
      <c r="R487" s="4">
        <v>0</v>
      </c>
      <c r="S487" s="5">
        <f t="shared" si="45"/>
        <v>0</v>
      </c>
      <c r="T487" s="5">
        <f t="shared" si="46"/>
        <v>1.3903448882342435</v>
      </c>
      <c r="U487" s="5">
        <f t="shared" si="47"/>
        <v>0</v>
      </c>
      <c r="V487" s="4">
        <v>12</v>
      </c>
      <c r="W487" s="4">
        <v>33</v>
      </c>
      <c r="X487" s="4">
        <v>12</v>
      </c>
      <c r="Y487" s="4">
        <v>-50</v>
      </c>
      <c r="Z487" s="4">
        <v>0</v>
      </c>
      <c r="AA487" s="4">
        <v>0</v>
      </c>
      <c r="AB487" s="4">
        <v>0</v>
      </c>
      <c r="AC487" s="4">
        <v>0</v>
      </c>
      <c r="AD487" s="4"/>
      <c r="AE487" s="54">
        <v>7.8443527221679688E-2</v>
      </c>
      <c r="AF487" s="54">
        <v>0.99994349479675293</v>
      </c>
    </row>
    <row r="488" spans="1:32" x14ac:dyDescent="0.2">
      <c r="A488" s="53" t="s">
        <v>2243</v>
      </c>
      <c r="B488" s="53" t="s">
        <v>2386</v>
      </c>
      <c r="C488" s="54" t="s">
        <v>3300</v>
      </c>
      <c r="D488" s="13" t="s">
        <v>1956</v>
      </c>
      <c r="E488" s="4" t="s">
        <v>1958</v>
      </c>
      <c r="F488" s="4" t="s">
        <v>1957</v>
      </c>
      <c r="G488" s="4" t="s">
        <v>27</v>
      </c>
      <c r="H488" s="4">
        <v>4944</v>
      </c>
      <c r="I488" s="5">
        <f t="shared" si="42"/>
        <v>3860.5425842678205</v>
      </c>
      <c r="J488" s="4">
        <v>3757</v>
      </c>
      <c r="K488" s="5">
        <f t="shared" si="43"/>
        <v>2028.2968191317466</v>
      </c>
      <c r="L488" s="5">
        <v>0</v>
      </c>
      <c r="M488" s="5">
        <v>0</v>
      </c>
      <c r="N488" s="4">
        <v>0</v>
      </c>
      <c r="O488" s="5">
        <f t="shared" si="44"/>
        <v>0</v>
      </c>
      <c r="P488" s="4">
        <v>0</v>
      </c>
      <c r="Q488" s="4">
        <v>0</v>
      </c>
      <c r="R488" s="4">
        <v>0</v>
      </c>
      <c r="S488" s="5">
        <f t="shared" si="45"/>
        <v>0</v>
      </c>
      <c r="T488" s="5">
        <f t="shared" si="46"/>
        <v>0.52539164504940372</v>
      </c>
      <c r="U488" s="5">
        <f t="shared" si="47"/>
        <v>0</v>
      </c>
      <c r="V488" s="4">
        <v>27</v>
      </c>
      <c r="W488" s="4">
        <v>-3</v>
      </c>
      <c r="X488" s="4">
        <v>-7</v>
      </c>
      <c r="Y488" s="4">
        <v>17</v>
      </c>
      <c r="Z488" s="4">
        <v>0</v>
      </c>
      <c r="AA488" s="4">
        <v>0</v>
      </c>
      <c r="AB488" s="4">
        <v>0</v>
      </c>
      <c r="AC488" s="4">
        <v>0</v>
      </c>
      <c r="AD488" s="4"/>
      <c r="AE488" s="54">
        <v>-7.2917938232421884E-3</v>
      </c>
      <c r="AF488" s="54">
        <v>-0.9960666298866272</v>
      </c>
    </row>
    <row r="489" spans="1:32" x14ac:dyDescent="0.2">
      <c r="A489" s="53" t="s">
        <v>2243</v>
      </c>
      <c r="B489" s="53" t="s">
        <v>2394</v>
      </c>
      <c r="C489" s="54" t="s">
        <v>3302</v>
      </c>
      <c r="D489" s="13" t="s">
        <v>1965</v>
      </c>
      <c r="E489" s="4" t="s">
        <v>1967</v>
      </c>
      <c r="F489" s="4" t="s">
        <v>1966</v>
      </c>
      <c r="G489" s="4" t="s">
        <v>27</v>
      </c>
      <c r="H489" s="4">
        <v>5095</v>
      </c>
      <c r="I489" s="5">
        <f t="shared" si="42"/>
        <v>3978.4515507371652</v>
      </c>
      <c r="J489" s="4">
        <v>2866</v>
      </c>
      <c r="K489" s="5">
        <f t="shared" si="43"/>
        <v>1547.2714090049469</v>
      </c>
      <c r="L489" s="5">
        <v>0</v>
      </c>
      <c r="M489" s="5">
        <v>0</v>
      </c>
      <c r="N489" s="4">
        <v>0</v>
      </c>
      <c r="O489" s="5">
        <f t="shared" si="44"/>
        <v>0</v>
      </c>
      <c r="P489" s="4">
        <v>0</v>
      </c>
      <c r="Q489" s="4">
        <v>0</v>
      </c>
      <c r="R489" s="4">
        <v>0</v>
      </c>
      <c r="S489" s="5">
        <f t="shared" si="45"/>
        <v>0</v>
      </c>
      <c r="T489" s="5">
        <f t="shared" si="46"/>
        <v>0.38891297010221321</v>
      </c>
      <c r="U489" s="5">
        <f t="shared" si="47"/>
        <v>0</v>
      </c>
      <c r="V489" s="4">
        <v>-34</v>
      </c>
      <c r="W489" s="4">
        <v>50</v>
      </c>
      <c r="X489" s="4">
        <v>1</v>
      </c>
      <c r="Y489" s="4">
        <v>3</v>
      </c>
      <c r="Z489" s="4">
        <v>0</v>
      </c>
      <c r="AA489" s="4">
        <v>0</v>
      </c>
      <c r="AB489" s="4">
        <v>0</v>
      </c>
      <c r="AC489" s="4">
        <v>0</v>
      </c>
      <c r="AD489" s="4"/>
      <c r="AE489" s="54">
        <v>7.1263313293457031E-4</v>
      </c>
      <c r="AF489" s="54">
        <v>0.58437919616699219</v>
      </c>
    </row>
    <row r="490" spans="1:32" x14ac:dyDescent="0.2">
      <c r="A490" s="53" t="s">
        <v>2243</v>
      </c>
      <c r="B490" s="53" t="s">
        <v>2404</v>
      </c>
      <c r="C490" s="54" t="s">
        <v>3303</v>
      </c>
      <c r="D490" s="13" t="s">
        <v>1968</v>
      </c>
      <c r="E490" s="4" t="s">
        <v>1970</v>
      </c>
      <c r="F490" s="4" t="s">
        <v>1969</v>
      </c>
      <c r="G490" s="4" t="s">
        <v>27</v>
      </c>
      <c r="H490" s="4">
        <v>7905</v>
      </c>
      <c r="I490" s="5">
        <f t="shared" si="42"/>
        <v>6172.6515227825894</v>
      </c>
      <c r="J490" s="4">
        <v>5024</v>
      </c>
      <c r="K490" s="5">
        <f t="shared" si="43"/>
        <v>2712.3138725892718</v>
      </c>
      <c r="L490" s="5">
        <v>0</v>
      </c>
      <c r="M490" s="5">
        <v>0</v>
      </c>
      <c r="N490" s="4">
        <v>0</v>
      </c>
      <c r="O490" s="5">
        <f t="shared" si="44"/>
        <v>0</v>
      </c>
      <c r="P490" s="4">
        <v>0</v>
      </c>
      <c r="Q490" s="4">
        <v>0</v>
      </c>
      <c r="R490" s="4">
        <v>0</v>
      </c>
      <c r="S490" s="5">
        <f t="shared" si="45"/>
        <v>0</v>
      </c>
      <c r="T490" s="5">
        <f t="shared" si="46"/>
        <v>0.43940822879412755</v>
      </c>
      <c r="U490" s="5">
        <f t="shared" si="47"/>
        <v>0</v>
      </c>
      <c r="V490" s="4" t="s">
        <v>21</v>
      </c>
      <c r="W490" s="4" t="s">
        <v>21</v>
      </c>
      <c r="X490" s="4" t="s">
        <v>21</v>
      </c>
      <c r="Y490" s="4" t="s">
        <v>21</v>
      </c>
      <c r="Z490" s="4">
        <v>0</v>
      </c>
      <c r="AA490" s="4">
        <v>0</v>
      </c>
      <c r="AB490" s="4">
        <v>0</v>
      </c>
      <c r="AC490" s="4">
        <v>0</v>
      </c>
      <c r="AD490" s="4"/>
      <c r="AE490" s="54">
        <v>1.5778541564941411E-3</v>
      </c>
      <c r="AF490" s="54">
        <v>0.81510752439498901</v>
      </c>
    </row>
    <row r="491" spans="1:32" x14ac:dyDescent="0.2">
      <c r="A491" s="53" t="s">
        <v>2243</v>
      </c>
      <c r="B491" s="53" t="s">
        <v>2387</v>
      </c>
      <c r="C491" s="54" t="s">
        <v>3304</v>
      </c>
      <c r="D491" s="13" t="s">
        <v>960</v>
      </c>
      <c r="E491" s="4" t="s">
        <v>962</v>
      </c>
      <c r="F491" s="4" t="s">
        <v>961</v>
      </c>
      <c r="G491" s="4" t="s">
        <v>27</v>
      </c>
      <c r="H491" s="4">
        <v>1090</v>
      </c>
      <c r="I491" s="5">
        <f t="shared" si="42"/>
        <v>851.13095001050249</v>
      </c>
      <c r="J491" s="4">
        <v>2660</v>
      </c>
      <c r="K491" s="5">
        <f t="shared" si="43"/>
        <v>1436.0579022865174</v>
      </c>
      <c r="L491" s="5">
        <v>0</v>
      </c>
      <c r="M491" s="5">
        <v>0</v>
      </c>
      <c r="N491" s="4">
        <v>0</v>
      </c>
      <c r="O491" s="5">
        <f t="shared" si="44"/>
        <v>0</v>
      </c>
      <c r="P491" s="4">
        <v>0</v>
      </c>
      <c r="Q491" s="4">
        <v>0</v>
      </c>
      <c r="R491" s="4">
        <v>0</v>
      </c>
      <c r="S491" s="5">
        <f t="shared" si="45"/>
        <v>0</v>
      </c>
      <c r="T491" s="5">
        <f t="shared" si="46"/>
        <v>1.6872349692709416</v>
      </c>
      <c r="U491" s="5">
        <f t="shared" si="47"/>
        <v>0</v>
      </c>
      <c r="V491" s="4">
        <v>17</v>
      </c>
      <c r="W491" s="4">
        <v>-29</v>
      </c>
      <c r="X491" s="4">
        <v>5</v>
      </c>
      <c r="Y491" s="4" t="s">
        <v>963</v>
      </c>
      <c r="Z491" s="4">
        <v>0</v>
      </c>
      <c r="AA491" s="4">
        <v>0</v>
      </c>
      <c r="AB491" s="4">
        <v>0</v>
      </c>
      <c r="AC491" s="4">
        <v>0</v>
      </c>
      <c r="AD491" s="4"/>
      <c r="AE491" s="54">
        <v>-2.7027130126953121E-3</v>
      </c>
      <c r="AF491" s="54">
        <v>-0.92880904674530029</v>
      </c>
    </row>
    <row r="492" spans="1:32" x14ac:dyDescent="0.2">
      <c r="A492" s="53" t="s">
        <v>2243</v>
      </c>
      <c r="B492" s="53" t="s">
        <v>2388</v>
      </c>
      <c r="C492" s="54" t="s">
        <v>3305</v>
      </c>
      <c r="D492" s="13" t="s">
        <v>964</v>
      </c>
      <c r="E492" s="4" t="s">
        <v>966</v>
      </c>
      <c r="F492" s="4" t="s">
        <v>965</v>
      </c>
      <c r="G492" s="4" t="s">
        <v>27</v>
      </c>
      <c r="H492" s="4">
        <v>1936</v>
      </c>
      <c r="I492" s="5">
        <f t="shared" si="42"/>
        <v>1511.733503871865</v>
      </c>
      <c r="J492" s="4">
        <v>2730</v>
      </c>
      <c r="K492" s="5">
        <f t="shared" si="43"/>
        <v>1473.8488997151101</v>
      </c>
      <c r="L492" s="5">
        <v>0</v>
      </c>
      <c r="M492" s="5">
        <v>0</v>
      </c>
      <c r="N492" s="4">
        <v>0</v>
      </c>
      <c r="O492" s="5">
        <f t="shared" si="44"/>
        <v>0</v>
      </c>
      <c r="P492" s="4">
        <v>0</v>
      </c>
      <c r="Q492" s="4">
        <v>0</v>
      </c>
      <c r="R492" s="4">
        <v>0</v>
      </c>
      <c r="S492" s="5">
        <f t="shared" si="45"/>
        <v>0</v>
      </c>
      <c r="T492" s="5">
        <f t="shared" si="46"/>
        <v>0.97493962787771482</v>
      </c>
      <c r="U492" s="5">
        <f t="shared" si="47"/>
        <v>0</v>
      </c>
      <c r="V492" s="4">
        <v>-18</v>
      </c>
      <c r="W492" s="4">
        <v>48</v>
      </c>
      <c r="X492" s="4">
        <v>-12</v>
      </c>
      <c r="Y492" s="4" t="s">
        <v>967</v>
      </c>
      <c r="Z492" s="4">
        <v>0</v>
      </c>
      <c r="AA492" s="4">
        <v>0</v>
      </c>
      <c r="AB492" s="4">
        <v>0</v>
      </c>
      <c r="AC492" s="4">
        <v>0</v>
      </c>
      <c r="AD492" s="4"/>
      <c r="AE492" s="54">
        <v>-2.7689933776855469E-3</v>
      </c>
      <c r="AF492" s="54">
        <v>-0.93191015720367432</v>
      </c>
    </row>
    <row r="493" spans="1:32" x14ac:dyDescent="0.2">
      <c r="A493" s="53" t="s">
        <v>2243</v>
      </c>
      <c r="B493" s="53" t="s">
        <v>2389</v>
      </c>
      <c r="C493" s="54" t="s">
        <v>3306</v>
      </c>
      <c r="D493" s="13" t="s">
        <v>1959</v>
      </c>
      <c r="E493" s="4" t="s">
        <v>1961</v>
      </c>
      <c r="F493" s="4" t="s">
        <v>1960</v>
      </c>
      <c r="G493" s="4" t="s">
        <v>27</v>
      </c>
      <c r="H493" s="4">
        <v>537</v>
      </c>
      <c r="I493" s="5">
        <f t="shared" si="42"/>
        <v>419.3186423446237</v>
      </c>
      <c r="J493" s="4">
        <v>3096</v>
      </c>
      <c r="K493" s="5">
        <f t="shared" si="43"/>
        <v>1671.4418291274653</v>
      </c>
      <c r="L493" s="5">
        <v>0</v>
      </c>
      <c r="M493" s="5">
        <v>0</v>
      </c>
      <c r="N493" s="4">
        <v>0</v>
      </c>
      <c r="O493" s="5">
        <f t="shared" si="44"/>
        <v>0</v>
      </c>
      <c r="P493" s="4">
        <v>0</v>
      </c>
      <c r="Q493" s="4">
        <v>0</v>
      </c>
      <c r="R493" s="4">
        <v>0</v>
      </c>
      <c r="S493" s="5">
        <f t="shared" si="45"/>
        <v>0</v>
      </c>
      <c r="T493" s="5">
        <f t="shared" si="46"/>
        <v>3.9860899572258091</v>
      </c>
      <c r="U493" s="5">
        <f t="shared" si="47"/>
        <v>0</v>
      </c>
      <c r="V493" s="4">
        <v>37</v>
      </c>
      <c r="W493" s="4">
        <v>-2</v>
      </c>
      <c r="X493" s="4">
        <v>-19</v>
      </c>
      <c r="Y493" s="4">
        <v>-5</v>
      </c>
      <c r="Z493" s="4">
        <v>0</v>
      </c>
      <c r="AA493" s="4">
        <v>0</v>
      </c>
      <c r="AB493" s="4">
        <v>0</v>
      </c>
      <c r="AC493" s="4">
        <v>0</v>
      </c>
      <c r="AD493" s="4"/>
      <c r="AE493" s="54">
        <v>-2.2625923156738281E-4</v>
      </c>
      <c r="AF493" s="54">
        <v>-0.31222391128540039</v>
      </c>
    </row>
    <row r="494" spans="1:32" x14ac:dyDescent="0.2">
      <c r="A494" s="53" t="s">
        <v>2243</v>
      </c>
      <c r="B494" s="53" t="s">
        <v>2390</v>
      </c>
      <c r="C494" s="54" t="s">
        <v>3307</v>
      </c>
      <c r="D494" s="13" t="s">
        <v>1962</v>
      </c>
      <c r="E494" s="4" t="s">
        <v>1964</v>
      </c>
      <c r="F494" s="4" t="s">
        <v>1963</v>
      </c>
      <c r="G494" s="4" t="s">
        <v>27</v>
      </c>
      <c r="H494" s="4">
        <v>1417</v>
      </c>
      <c r="I494" s="5">
        <f t="shared" si="42"/>
        <v>1106.4702350136533</v>
      </c>
      <c r="J494" s="4">
        <v>2738</v>
      </c>
      <c r="K494" s="5">
        <f t="shared" si="43"/>
        <v>1478.1678708498061</v>
      </c>
      <c r="L494" s="5">
        <v>0</v>
      </c>
      <c r="M494" s="5">
        <v>0</v>
      </c>
      <c r="N494" s="4">
        <v>0</v>
      </c>
      <c r="O494" s="5">
        <f t="shared" si="44"/>
        <v>0</v>
      </c>
      <c r="P494" s="4">
        <v>0</v>
      </c>
      <c r="Q494" s="4">
        <v>0</v>
      </c>
      <c r="R494" s="4">
        <v>0</v>
      </c>
      <c r="S494" s="5">
        <f t="shared" si="45"/>
        <v>0</v>
      </c>
      <c r="T494" s="5">
        <f t="shared" si="46"/>
        <v>1.3359309849230299</v>
      </c>
      <c r="U494" s="5">
        <f t="shared" si="47"/>
        <v>0</v>
      </c>
      <c r="V494" s="4">
        <v>-2</v>
      </c>
      <c r="W494" s="4">
        <v>50</v>
      </c>
      <c r="X494" s="4">
        <v>-3</v>
      </c>
      <c r="Y494" s="4">
        <v>-13</v>
      </c>
      <c r="Z494" s="4">
        <v>0</v>
      </c>
      <c r="AA494" s="4">
        <v>0</v>
      </c>
      <c r="AB494" s="4">
        <v>0</v>
      </c>
      <c r="AC494" s="4">
        <v>0</v>
      </c>
      <c r="AD494" s="4"/>
      <c r="AE494" s="54">
        <v>1.406669616699219E-4</v>
      </c>
      <c r="AF494" s="54">
        <v>0.25927191972732538</v>
      </c>
    </row>
    <row r="495" spans="1:32" x14ac:dyDescent="0.2">
      <c r="A495" s="53" t="s">
        <v>2243</v>
      </c>
      <c r="B495" s="53" t="s">
        <v>2391</v>
      </c>
      <c r="C495" s="54" t="s">
        <v>3308</v>
      </c>
      <c r="D495" s="13" t="s">
        <v>1776</v>
      </c>
      <c r="E495" s="4" t="s">
        <v>1778</v>
      </c>
      <c r="F495" s="4" t="s">
        <v>1777</v>
      </c>
      <c r="G495" s="4" t="s">
        <v>27</v>
      </c>
      <c r="H495" s="4">
        <v>2334</v>
      </c>
      <c r="I495" s="5">
        <f t="shared" si="42"/>
        <v>1822.5134287380852</v>
      </c>
      <c r="J495" s="4">
        <v>3743</v>
      </c>
      <c r="K495" s="5">
        <f t="shared" si="43"/>
        <v>2020.7386196460279</v>
      </c>
      <c r="L495" s="5">
        <v>0</v>
      </c>
      <c r="M495" s="5">
        <v>0</v>
      </c>
      <c r="N495" s="4">
        <v>0</v>
      </c>
      <c r="O495" s="5">
        <f t="shared" si="44"/>
        <v>0</v>
      </c>
      <c r="P495" s="4">
        <v>0</v>
      </c>
      <c r="Q495" s="4">
        <v>0</v>
      </c>
      <c r="R495" s="4">
        <v>0</v>
      </c>
      <c r="S495" s="5">
        <f t="shared" si="45"/>
        <v>0</v>
      </c>
      <c r="T495" s="5">
        <f t="shared" si="46"/>
        <v>1.1087647354374748</v>
      </c>
      <c r="U495" s="5">
        <f t="shared" si="47"/>
        <v>0</v>
      </c>
      <c r="V495" s="4">
        <v>36</v>
      </c>
      <c r="W495" s="4">
        <v>-4</v>
      </c>
      <c r="X495" s="4">
        <v>38</v>
      </c>
      <c r="Y495" s="4">
        <v>14</v>
      </c>
      <c r="Z495" s="4">
        <v>0</v>
      </c>
      <c r="AA495" s="4">
        <v>0</v>
      </c>
      <c r="AB495" s="4">
        <v>0</v>
      </c>
      <c r="AC495" s="4">
        <v>0</v>
      </c>
      <c r="AD495" s="4"/>
      <c r="AE495" s="54">
        <v>-7.8678131103515625E-4</v>
      </c>
      <c r="AF495" s="54">
        <v>-0.60670804977416992</v>
      </c>
    </row>
    <row r="496" spans="1:32" x14ac:dyDescent="0.2">
      <c r="A496" s="53" t="s">
        <v>2243</v>
      </c>
      <c r="B496" s="53" t="s">
        <v>2393</v>
      </c>
      <c r="C496" s="54" t="s">
        <v>3309</v>
      </c>
      <c r="D496" s="13" t="s">
        <v>1485</v>
      </c>
      <c r="E496" s="4" t="s">
        <v>1487</v>
      </c>
      <c r="F496" s="4" t="s">
        <v>1486</v>
      </c>
      <c r="G496" s="4" t="s">
        <v>27</v>
      </c>
      <c r="H496" s="4">
        <v>5360</v>
      </c>
      <c r="I496" s="5">
        <f t="shared" si="42"/>
        <v>4185.3778826204525</v>
      </c>
      <c r="J496" s="4">
        <v>4180</v>
      </c>
      <c r="K496" s="5">
        <f t="shared" si="43"/>
        <v>2256.6624178788129</v>
      </c>
      <c r="L496" s="5">
        <v>0</v>
      </c>
      <c r="M496" s="5">
        <v>0</v>
      </c>
      <c r="N496" s="4">
        <v>0</v>
      </c>
      <c r="O496" s="5">
        <f t="shared" si="44"/>
        <v>0</v>
      </c>
      <c r="P496" s="4">
        <v>0</v>
      </c>
      <c r="Q496" s="4">
        <v>0</v>
      </c>
      <c r="R496" s="4">
        <v>0</v>
      </c>
      <c r="S496" s="5">
        <f t="shared" si="45"/>
        <v>0</v>
      </c>
      <c r="T496" s="5">
        <f t="shared" si="46"/>
        <v>0.53917769940188132</v>
      </c>
      <c r="U496" s="5">
        <f t="shared" si="47"/>
        <v>0</v>
      </c>
      <c r="V496" s="4">
        <v>-1</v>
      </c>
      <c r="W496" s="4">
        <v>-2</v>
      </c>
      <c r="X496" s="4">
        <v>-43</v>
      </c>
      <c r="Y496" s="4">
        <v>-2</v>
      </c>
      <c r="Z496" s="4">
        <v>0</v>
      </c>
      <c r="AA496" s="4">
        <v>0</v>
      </c>
      <c r="AB496" s="4">
        <v>0</v>
      </c>
      <c r="AC496" s="4">
        <v>0</v>
      </c>
      <c r="AD496" s="4"/>
      <c r="AE496" s="54">
        <v>4.2414665222167969E-4</v>
      </c>
      <c r="AF496" s="54">
        <v>0.44984942674636841</v>
      </c>
    </row>
    <row r="497" spans="1:32" x14ac:dyDescent="0.2">
      <c r="A497" s="53" t="s">
        <v>2243</v>
      </c>
      <c r="B497" s="53" t="s">
        <v>2395</v>
      </c>
      <c r="C497" s="54" t="s">
        <v>3310</v>
      </c>
      <c r="D497" s="13" t="s">
        <v>971</v>
      </c>
      <c r="E497" s="4" t="s">
        <v>973</v>
      </c>
      <c r="F497" s="4" t="s">
        <v>972</v>
      </c>
      <c r="G497" s="4" t="s">
        <v>27</v>
      </c>
      <c r="H497" s="4">
        <v>2903</v>
      </c>
      <c r="I497" s="5">
        <f t="shared" si="42"/>
        <v>2266.819401725219</v>
      </c>
      <c r="J497" s="4">
        <v>3263</v>
      </c>
      <c r="K497" s="5">
        <f t="shared" si="43"/>
        <v>1761.6003515642506</v>
      </c>
      <c r="L497" s="5">
        <v>0</v>
      </c>
      <c r="M497" s="5">
        <v>0</v>
      </c>
      <c r="N497" s="4">
        <v>0</v>
      </c>
      <c r="O497" s="5">
        <f t="shared" si="44"/>
        <v>0</v>
      </c>
      <c r="P497" s="4">
        <v>0</v>
      </c>
      <c r="Q497" s="4">
        <v>0</v>
      </c>
      <c r="R497" s="4">
        <v>0</v>
      </c>
      <c r="S497" s="5">
        <f t="shared" si="45"/>
        <v>0</v>
      </c>
      <c r="T497" s="5">
        <f t="shared" si="46"/>
        <v>0.77712426063741158</v>
      </c>
      <c r="U497" s="5">
        <f t="shared" si="47"/>
        <v>0</v>
      </c>
      <c r="V497" s="4">
        <v>-3</v>
      </c>
      <c r="W497" s="4">
        <v>49</v>
      </c>
      <c r="X497" s="4">
        <v>-40</v>
      </c>
      <c r="Y497" s="4">
        <v>1</v>
      </c>
      <c r="Z497" s="4">
        <v>0</v>
      </c>
      <c r="AA497" s="4">
        <v>0</v>
      </c>
      <c r="AB497" s="4">
        <v>0</v>
      </c>
      <c r="AC497" s="4">
        <v>0</v>
      </c>
      <c r="AD497" s="4"/>
      <c r="AE497" s="54">
        <v>-7.4791908264160156E-4</v>
      </c>
      <c r="AF497" s="54">
        <v>-0.59192442893981934</v>
      </c>
    </row>
    <row r="498" spans="1:32" x14ac:dyDescent="0.2">
      <c r="A498" s="53" t="s">
        <v>2243</v>
      </c>
      <c r="B498" s="53" t="s">
        <v>2396</v>
      </c>
      <c r="C498" s="54" t="s">
        <v>3311</v>
      </c>
      <c r="D498" s="13" t="s">
        <v>974</v>
      </c>
      <c r="E498" s="4" t="s">
        <v>976</v>
      </c>
      <c r="F498" s="4" t="s">
        <v>975</v>
      </c>
      <c r="G498" s="4" t="s">
        <v>27</v>
      </c>
      <c r="H498" s="4">
        <v>6810</v>
      </c>
      <c r="I498" s="5">
        <f t="shared" si="42"/>
        <v>5317.6163023591944</v>
      </c>
      <c r="J498" s="4">
        <v>5135</v>
      </c>
      <c r="K498" s="5">
        <f t="shared" si="43"/>
        <v>2772.2395970831831</v>
      </c>
      <c r="L498" s="5">
        <v>0</v>
      </c>
      <c r="M498" s="5">
        <v>0</v>
      </c>
      <c r="N498" s="4">
        <v>0</v>
      </c>
      <c r="O498" s="5">
        <f t="shared" si="44"/>
        <v>0</v>
      </c>
      <c r="P498" s="4">
        <v>0</v>
      </c>
      <c r="Q498" s="4">
        <v>0</v>
      </c>
      <c r="R498" s="4">
        <v>0</v>
      </c>
      <c r="S498" s="5">
        <f t="shared" si="45"/>
        <v>0</v>
      </c>
      <c r="T498" s="5">
        <f t="shared" si="46"/>
        <v>0.52133125811526893</v>
      </c>
      <c r="U498" s="5">
        <f t="shared" si="47"/>
        <v>0</v>
      </c>
      <c r="V498" s="4">
        <v>-5</v>
      </c>
      <c r="W498" s="4">
        <v>-1</v>
      </c>
      <c r="X498" s="4">
        <v>8</v>
      </c>
      <c r="Y498" s="4">
        <v>1</v>
      </c>
      <c r="Z498" s="4">
        <v>0</v>
      </c>
      <c r="AA498" s="4">
        <v>0</v>
      </c>
      <c r="AB498" s="4">
        <v>0</v>
      </c>
      <c r="AC498" s="4">
        <v>0</v>
      </c>
      <c r="AD498" s="4"/>
      <c r="AE498" s="54">
        <v>5.6195259094238281E-4</v>
      </c>
      <c r="AF498" s="54">
        <v>0.52033525705337524</v>
      </c>
    </row>
    <row r="499" spans="1:32" x14ac:dyDescent="0.2">
      <c r="A499" s="53" t="s">
        <v>2243</v>
      </c>
      <c r="B499" s="53" t="s">
        <v>2397</v>
      </c>
      <c r="C499" s="54" t="s">
        <v>3312</v>
      </c>
      <c r="D499" s="13" t="s">
        <v>977</v>
      </c>
      <c r="E499" s="4" t="s">
        <v>979</v>
      </c>
      <c r="F499" s="4" t="s">
        <v>978</v>
      </c>
      <c r="G499" s="4" t="s">
        <v>27</v>
      </c>
      <c r="H499" s="4">
        <v>100</v>
      </c>
      <c r="I499" s="5">
        <f t="shared" si="42"/>
        <v>78.085408257844264</v>
      </c>
      <c r="J499" s="4">
        <v>2888</v>
      </c>
      <c r="K499" s="5">
        <f t="shared" si="43"/>
        <v>1559.1485796253617</v>
      </c>
      <c r="L499" s="5">
        <v>0</v>
      </c>
      <c r="M499" s="5">
        <v>0</v>
      </c>
      <c r="N499" s="4">
        <v>0</v>
      </c>
      <c r="O499" s="5">
        <f t="shared" si="44"/>
        <v>0</v>
      </c>
      <c r="P499" s="4">
        <v>0</v>
      </c>
      <c r="Q499" s="4">
        <v>0</v>
      </c>
      <c r="R499" s="4">
        <v>0</v>
      </c>
      <c r="S499" s="5">
        <f t="shared" si="45"/>
        <v>0</v>
      </c>
      <c r="T499" s="5">
        <f t="shared" si="46"/>
        <v>19.967220693486396</v>
      </c>
      <c r="U499" s="5">
        <f t="shared" si="47"/>
        <v>0</v>
      </c>
      <c r="V499" s="4">
        <v>-37</v>
      </c>
      <c r="W499" s="4">
        <v>-44</v>
      </c>
      <c r="X499" s="4">
        <v>26</v>
      </c>
      <c r="Y499" s="4">
        <v>-35</v>
      </c>
      <c r="Z499" s="4">
        <v>0</v>
      </c>
      <c r="AA499" s="4">
        <v>0</v>
      </c>
      <c r="AB499" s="4">
        <v>0</v>
      </c>
      <c r="AC499" s="4">
        <v>0</v>
      </c>
      <c r="AD499" s="4"/>
      <c r="AE499" s="54">
        <v>-5.9366226196289062E-5</v>
      </c>
      <c r="AF499" s="54">
        <v>-0.16011412441730499</v>
      </c>
    </row>
    <row r="500" spans="1:32" x14ac:dyDescent="0.2">
      <c r="A500" s="53" t="s">
        <v>2243</v>
      </c>
      <c r="B500" s="53" t="s">
        <v>2398</v>
      </c>
      <c r="C500" s="54" t="s">
        <v>3313</v>
      </c>
      <c r="D500" s="13" t="s">
        <v>980</v>
      </c>
      <c r="E500" s="4" t="s">
        <v>982</v>
      </c>
      <c r="F500" s="4" t="s">
        <v>981</v>
      </c>
      <c r="G500" s="4" t="s">
        <v>27</v>
      </c>
      <c r="H500" s="4">
        <v>826</v>
      </c>
      <c r="I500" s="5">
        <f t="shared" si="42"/>
        <v>644.98547220979367</v>
      </c>
      <c r="J500" s="4">
        <v>2799</v>
      </c>
      <c r="K500" s="5">
        <f t="shared" si="43"/>
        <v>1511.1000257518654</v>
      </c>
      <c r="L500" s="5">
        <v>0</v>
      </c>
      <c r="M500" s="5">
        <v>0</v>
      </c>
      <c r="N500" s="4">
        <v>0</v>
      </c>
      <c r="O500" s="5">
        <f t="shared" si="44"/>
        <v>0</v>
      </c>
      <c r="P500" s="4">
        <v>0</v>
      </c>
      <c r="Q500" s="4">
        <v>0</v>
      </c>
      <c r="R500" s="4">
        <v>0</v>
      </c>
      <c r="S500" s="5">
        <f t="shared" si="45"/>
        <v>0</v>
      </c>
      <c r="T500" s="5">
        <f t="shared" si="46"/>
        <v>2.3428435071175553</v>
      </c>
      <c r="U500" s="5">
        <f t="shared" si="47"/>
        <v>0</v>
      </c>
      <c r="V500" s="4">
        <v>-6</v>
      </c>
      <c r="W500" s="4">
        <v>-1</v>
      </c>
      <c r="X500" s="4">
        <v>-22</v>
      </c>
      <c r="Y500" s="4">
        <v>49</v>
      </c>
      <c r="Z500" s="4">
        <v>0</v>
      </c>
      <c r="AA500" s="4">
        <v>0</v>
      </c>
      <c r="AB500" s="4">
        <v>0</v>
      </c>
      <c r="AC500" s="4">
        <v>0</v>
      </c>
      <c r="AD500" s="4"/>
      <c r="AE500" s="54">
        <v>2.107620239257812E-4</v>
      </c>
      <c r="AF500" s="54">
        <v>0.31222391128540039</v>
      </c>
    </row>
    <row r="501" spans="1:32" x14ac:dyDescent="0.2">
      <c r="A501" s="53" t="s">
        <v>2243</v>
      </c>
      <c r="B501" s="53" t="s">
        <v>2399</v>
      </c>
      <c r="C501" s="54" t="s">
        <v>3314</v>
      </c>
      <c r="D501" s="13" t="s">
        <v>983</v>
      </c>
      <c r="E501" s="4" t="s">
        <v>985</v>
      </c>
      <c r="F501" s="4" t="s">
        <v>984</v>
      </c>
      <c r="G501" s="4" t="s">
        <v>27</v>
      </c>
      <c r="H501" s="4">
        <v>1017</v>
      </c>
      <c r="I501" s="5">
        <f t="shared" si="42"/>
        <v>794.12860198227611</v>
      </c>
      <c r="J501" s="4">
        <v>2142</v>
      </c>
      <c r="K501" s="5">
        <f t="shared" si="43"/>
        <v>1156.4045213149325</v>
      </c>
      <c r="L501" s="5">
        <v>0</v>
      </c>
      <c r="M501" s="5">
        <v>0</v>
      </c>
      <c r="N501" s="4">
        <v>0</v>
      </c>
      <c r="O501" s="5">
        <f t="shared" si="44"/>
        <v>0</v>
      </c>
      <c r="P501" s="4">
        <v>0</v>
      </c>
      <c r="Q501" s="4">
        <v>0</v>
      </c>
      <c r="R501" s="4">
        <v>0</v>
      </c>
      <c r="S501" s="5">
        <f t="shared" si="45"/>
        <v>0</v>
      </c>
      <c r="T501" s="5">
        <f t="shared" si="46"/>
        <v>1.4561930126031928</v>
      </c>
      <c r="U501" s="5">
        <f t="shared" si="47"/>
        <v>0</v>
      </c>
      <c r="V501" s="4">
        <v>46</v>
      </c>
      <c r="W501" s="4">
        <v>2</v>
      </c>
      <c r="X501" s="4">
        <v>4</v>
      </c>
      <c r="Y501" s="4">
        <v>25</v>
      </c>
      <c r="Z501" s="4">
        <v>0</v>
      </c>
      <c r="AA501" s="4">
        <v>0</v>
      </c>
      <c r="AB501" s="4">
        <v>0</v>
      </c>
      <c r="AC501" s="4">
        <v>0</v>
      </c>
      <c r="AD501" s="4"/>
      <c r="AE501" s="54">
        <v>-1.239776611328125E-4</v>
      </c>
      <c r="AF501" s="54">
        <v>-0.2267112135887146</v>
      </c>
    </row>
    <row r="502" spans="1:32" x14ac:dyDescent="0.2">
      <c r="A502" s="53" t="s">
        <v>2243</v>
      </c>
      <c r="B502" s="53" t="s">
        <v>2400</v>
      </c>
      <c r="C502" s="54" t="s">
        <v>3315</v>
      </c>
      <c r="D502" s="13" t="s">
        <v>986</v>
      </c>
      <c r="E502" s="4" t="s">
        <v>988</v>
      </c>
      <c r="F502" s="4" t="s">
        <v>987</v>
      </c>
      <c r="G502" s="4" t="s">
        <v>27</v>
      </c>
      <c r="H502" s="4">
        <v>5776</v>
      </c>
      <c r="I502" s="5">
        <f t="shared" si="42"/>
        <v>4510.2131809730845</v>
      </c>
      <c r="J502" s="4">
        <v>1463</v>
      </c>
      <c r="K502" s="5">
        <f t="shared" si="43"/>
        <v>789.83184625758452</v>
      </c>
      <c r="L502" s="5">
        <v>0</v>
      </c>
      <c r="M502" s="5">
        <v>0</v>
      </c>
      <c r="N502" s="4">
        <v>0</v>
      </c>
      <c r="O502" s="5">
        <f t="shared" si="44"/>
        <v>0</v>
      </c>
      <c r="P502" s="4">
        <v>0</v>
      </c>
      <c r="Q502" s="4">
        <v>0</v>
      </c>
      <c r="R502" s="4">
        <v>0</v>
      </c>
      <c r="S502" s="5">
        <f t="shared" si="45"/>
        <v>0</v>
      </c>
      <c r="T502" s="5">
        <f t="shared" si="46"/>
        <v>0.17512073477803486</v>
      </c>
      <c r="U502" s="5">
        <f t="shared" si="47"/>
        <v>0</v>
      </c>
      <c r="V502" s="4">
        <v>-13</v>
      </c>
      <c r="W502" s="4">
        <v>44</v>
      </c>
      <c r="X502" s="4">
        <v>-2</v>
      </c>
      <c r="Y502" s="4">
        <v>-26</v>
      </c>
      <c r="Z502" s="4">
        <v>0</v>
      </c>
      <c r="AA502" s="4">
        <v>0</v>
      </c>
      <c r="AB502" s="4">
        <v>0</v>
      </c>
      <c r="AC502" s="4">
        <v>0</v>
      </c>
      <c r="AD502" s="4"/>
      <c r="AE502" s="54">
        <v>5.5074691772460938E-5</v>
      </c>
      <c r="AF502" s="54">
        <v>0.16011412441730499</v>
      </c>
    </row>
    <row r="503" spans="1:32" x14ac:dyDescent="0.2">
      <c r="A503" s="53" t="s">
        <v>2243</v>
      </c>
      <c r="B503" s="53" t="s">
        <v>2401</v>
      </c>
      <c r="C503" s="54" t="s">
        <v>3316</v>
      </c>
      <c r="D503" s="13" t="s">
        <v>989</v>
      </c>
      <c r="E503" s="4" t="s">
        <v>991</v>
      </c>
      <c r="F503" s="4" t="s">
        <v>990</v>
      </c>
      <c r="G503" s="4" t="s">
        <v>27</v>
      </c>
      <c r="H503" s="4">
        <v>5603</v>
      </c>
      <c r="I503" s="5">
        <f t="shared" si="42"/>
        <v>4375.1254246870139</v>
      </c>
      <c r="J503" s="4">
        <v>1649</v>
      </c>
      <c r="K503" s="5">
        <f t="shared" si="43"/>
        <v>890.24792513927332</v>
      </c>
      <c r="L503" s="5">
        <v>0</v>
      </c>
      <c r="M503" s="5">
        <v>0</v>
      </c>
      <c r="N503" s="4">
        <v>0</v>
      </c>
      <c r="O503" s="5">
        <f t="shared" si="44"/>
        <v>0</v>
      </c>
      <c r="P503" s="4">
        <v>0</v>
      </c>
      <c r="Q503" s="4">
        <v>0</v>
      </c>
      <c r="R503" s="4">
        <v>0</v>
      </c>
      <c r="S503" s="5">
        <f t="shared" si="45"/>
        <v>0</v>
      </c>
      <c r="T503" s="5">
        <f t="shared" si="46"/>
        <v>0.20347940658248889</v>
      </c>
      <c r="U503" s="5">
        <f t="shared" si="47"/>
        <v>0</v>
      </c>
      <c r="V503" s="4">
        <v>-15</v>
      </c>
      <c r="W503" s="4">
        <v>-16</v>
      </c>
      <c r="X503" s="4">
        <v>1</v>
      </c>
      <c r="Y503" s="4">
        <v>-15</v>
      </c>
      <c r="Z503" s="4">
        <v>0</v>
      </c>
      <c r="AA503" s="4">
        <v>0</v>
      </c>
      <c r="AB503" s="4">
        <v>0</v>
      </c>
      <c r="AC503" s="4">
        <v>0</v>
      </c>
      <c r="AD503" s="4"/>
      <c r="AE503" s="54">
        <v>1.147985458374023E-3</v>
      </c>
      <c r="AF503" s="54">
        <v>0.72725653648376465</v>
      </c>
    </row>
    <row r="504" spans="1:32" x14ac:dyDescent="0.2">
      <c r="A504" s="53" t="s">
        <v>2243</v>
      </c>
      <c r="B504" s="53" t="s">
        <v>2402</v>
      </c>
      <c r="C504" s="54" t="s">
        <v>3317</v>
      </c>
      <c r="D504" s="13" t="s">
        <v>992</v>
      </c>
      <c r="E504" s="4" t="s">
        <v>994</v>
      </c>
      <c r="F504" s="4" t="s">
        <v>993</v>
      </c>
      <c r="G504" s="4" t="s">
        <v>27</v>
      </c>
      <c r="H504" s="4">
        <v>3214</v>
      </c>
      <c r="I504" s="5">
        <f t="shared" si="42"/>
        <v>2509.6650214071146</v>
      </c>
      <c r="J504" s="4">
        <v>4308</v>
      </c>
      <c r="K504" s="5">
        <f t="shared" si="43"/>
        <v>2325.7659560339534</v>
      </c>
      <c r="L504" s="5">
        <v>0</v>
      </c>
      <c r="M504" s="5">
        <v>0</v>
      </c>
      <c r="N504" s="4">
        <v>0</v>
      </c>
      <c r="O504" s="5">
        <f t="shared" si="44"/>
        <v>0</v>
      </c>
      <c r="P504" s="4">
        <v>0</v>
      </c>
      <c r="Q504" s="4">
        <v>0</v>
      </c>
      <c r="R504" s="4">
        <v>0</v>
      </c>
      <c r="S504" s="5">
        <f t="shared" si="45"/>
        <v>0</v>
      </c>
      <c r="T504" s="5">
        <f t="shared" si="46"/>
        <v>0.92672366080551538</v>
      </c>
      <c r="U504" s="5">
        <f t="shared" si="47"/>
        <v>0</v>
      </c>
      <c r="V504" s="4">
        <v>0</v>
      </c>
      <c r="W504" s="4">
        <v>-30</v>
      </c>
      <c r="X504" s="4">
        <v>1</v>
      </c>
      <c r="Y504" s="4">
        <v>31</v>
      </c>
      <c r="Z504" s="4">
        <v>0</v>
      </c>
      <c r="AA504" s="4">
        <v>0</v>
      </c>
      <c r="AB504" s="4">
        <v>0</v>
      </c>
      <c r="AC504" s="4">
        <v>0</v>
      </c>
      <c r="AD504" s="4"/>
      <c r="AE504" s="54">
        <v>5.7554244995117188E-4</v>
      </c>
      <c r="AF504" s="54">
        <v>0.52869731187820435</v>
      </c>
    </row>
    <row r="505" spans="1:32" x14ac:dyDescent="0.2">
      <c r="A505" s="53" t="s">
        <v>2243</v>
      </c>
      <c r="B505" s="53" t="s">
        <v>2403</v>
      </c>
      <c r="C505" s="54" t="s">
        <v>3318</v>
      </c>
      <c r="D505" s="13" t="s">
        <v>158</v>
      </c>
      <c r="E505" s="4" t="s">
        <v>160</v>
      </c>
      <c r="F505" s="4" t="s">
        <v>159</v>
      </c>
      <c r="G505" s="4" t="s">
        <v>27</v>
      </c>
      <c r="H505" s="4">
        <v>1066</v>
      </c>
      <c r="I505" s="5">
        <f t="shared" si="42"/>
        <v>832.39045202861985</v>
      </c>
      <c r="J505" s="4">
        <v>4683</v>
      </c>
      <c r="K505" s="5">
        <f t="shared" si="43"/>
        <v>2528.2177279728421</v>
      </c>
      <c r="L505" s="5">
        <v>0</v>
      </c>
      <c r="M505" s="5">
        <v>0</v>
      </c>
      <c r="N505" s="4">
        <v>0</v>
      </c>
      <c r="O505" s="5">
        <f t="shared" si="44"/>
        <v>0</v>
      </c>
      <c r="P505" s="4">
        <v>0</v>
      </c>
      <c r="Q505" s="4">
        <v>0</v>
      </c>
      <c r="R505" s="4">
        <v>0</v>
      </c>
      <c r="S505" s="5">
        <f t="shared" si="45"/>
        <v>0</v>
      </c>
      <c r="T505" s="5">
        <f t="shared" si="46"/>
        <v>3.0372978471957714</v>
      </c>
      <c r="U505" s="5">
        <f t="shared" si="47"/>
        <v>0</v>
      </c>
      <c r="V505" s="4">
        <v>-9</v>
      </c>
      <c r="W505" s="4">
        <v>-5</v>
      </c>
      <c r="X505" s="4">
        <v>-35</v>
      </c>
      <c r="Y505" s="4">
        <v>-2</v>
      </c>
      <c r="Z505" s="4">
        <v>0.01</v>
      </c>
      <c r="AA505" s="4">
        <v>0</v>
      </c>
      <c r="AB505" s="4">
        <v>0</v>
      </c>
      <c r="AC505" s="4">
        <v>0</v>
      </c>
      <c r="AD505" s="4"/>
      <c r="AE505" s="54">
        <v>-3.5154819488525391E-3</v>
      </c>
      <c r="AF505" s="54">
        <v>-0.96289336681365967</v>
      </c>
    </row>
    <row r="506" spans="1:32" x14ac:dyDescent="0.2">
      <c r="A506" s="53" t="s">
        <v>2243</v>
      </c>
      <c r="B506" s="53" t="s">
        <v>2405</v>
      </c>
      <c r="C506" s="54" t="s">
        <v>3319</v>
      </c>
      <c r="D506" s="13" t="s">
        <v>1779</v>
      </c>
      <c r="E506" s="4" t="s">
        <v>1781</v>
      </c>
      <c r="F506" s="4" t="s">
        <v>1780</v>
      </c>
      <c r="G506" s="4" t="s">
        <v>27</v>
      </c>
      <c r="H506" s="4">
        <v>1234</v>
      </c>
      <c r="I506" s="5">
        <f t="shared" si="42"/>
        <v>963.57393790179822</v>
      </c>
      <c r="J506" s="4">
        <v>4227</v>
      </c>
      <c r="K506" s="5">
        <f t="shared" si="43"/>
        <v>2282.0363732951537</v>
      </c>
      <c r="L506" s="5">
        <v>0</v>
      </c>
      <c r="M506" s="5">
        <v>0</v>
      </c>
      <c r="N506" s="4">
        <v>0</v>
      </c>
      <c r="O506" s="5">
        <f t="shared" si="44"/>
        <v>0</v>
      </c>
      <c r="P506" s="4">
        <v>0</v>
      </c>
      <c r="Q506" s="4">
        <v>0</v>
      </c>
      <c r="R506" s="4">
        <v>0</v>
      </c>
      <c r="S506" s="5">
        <f t="shared" si="45"/>
        <v>0</v>
      </c>
      <c r="T506" s="5">
        <f t="shared" si="46"/>
        <v>2.3683043755462441</v>
      </c>
      <c r="U506" s="5">
        <f t="shared" si="47"/>
        <v>0</v>
      </c>
      <c r="V506" s="4">
        <v>-27</v>
      </c>
      <c r="W506" s="4">
        <v>-12</v>
      </c>
      <c r="X506" s="4">
        <v>-38</v>
      </c>
      <c r="Y506" s="4">
        <v>41</v>
      </c>
      <c r="Z506" s="4">
        <v>0</v>
      </c>
      <c r="AA506" s="4">
        <v>0</v>
      </c>
      <c r="AB506" s="4">
        <v>0</v>
      </c>
      <c r="AC506" s="4">
        <v>0</v>
      </c>
      <c r="AD506" s="4"/>
      <c r="AE506" s="54">
        <v>-4.8084259033203116E-3</v>
      </c>
      <c r="AF506" s="54">
        <v>-0.98542571067810059</v>
      </c>
    </row>
    <row r="507" spans="1:32" x14ac:dyDescent="0.2">
      <c r="A507" s="53" t="s">
        <v>2243</v>
      </c>
      <c r="B507" s="53" t="s">
        <v>2406</v>
      </c>
      <c r="C507" s="54" t="s">
        <v>3320</v>
      </c>
      <c r="D507" s="13" t="s">
        <v>1782</v>
      </c>
      <c r="E507" s="4" t="s">
        <v>1784</v>
      </c>
      <c r="F507" s="4" t="s">
        <v>1783</v>
      </c>
      <c r="G507" s="4" t="s">
        <v>27</v>
      </c>
      <c r="H507" s="4">
        <v>1606</v>
      </c>
      <c r="I507" s="5">
        <f t="shared" si="42"/>
        <v>1254.051656620979</v>
      </c>
      <c r="J507" s="4">
        <v>2443</v>
      </c>
      <c r="K507" s="5">
        <f t="shared" si="43"/>
        <v>1318.9058102578804</v>
      </c>
      <c r="L507" s="5">
        <v>0</v>
      </c>
      <c r="M507" s="5">
        <v>0</v>
      </c>
      <c r="N507" s="4">
        <v>0</v>
      </c>
      <c r="O507" s="5">
        <f t="shared" si="44"/>
        <v>0</v>
      </c>
      <c r="P507" s="4">
        <v>0</v>
      </c>
      <c r="Q507" s="4">
        <v>0</v>
      </c>
      <c r="R507" s="4">
        <v>0</v>
      </c>
      <c r="S507" s="5">
        <f t="shared" si="45"/>
        <v>0</v>
      </c>
      <c r="T507" s="5">
        <f t="shared" si="46"/>
        <v>1.0517156955173999</v>
      </c>
      <c r="U507" s="5">
        <f t="shared" si="47"/>
        <v>0</v>
      </c>
      <c r="V507" s="4">
        <v>-16</v>
      </c>
      <c r="W507" s="4">
        <v>-37</v>
      </c>
      <c r="X507" s="4">
        <v>-4</v>
      </c>
      <c r="Y507" s="4">
        <v>40</v>
      </c>
      <c r="Z507" s="4">
        <v>0</v>
      </c>
      <c r="AA507" s="4">
        <v>0</v>
      </c>
      <c r="AB507" s="4">
        <v>0</v>
      </c>
      <c r="AC507" s="4">
        <v>0</v>
      </c>
      <c r="AD507" s="4"/>
      <c r="AE507" s="54">
        <v>-1.795768737792969E-3</v>
      </c>
      <c r="AF507" s="54">
        <v>-0.84383666515350342</v>
      </c>
    </row>
    <row r="508" spans="1:32" x14ac:dyDescent="0.2">
      <c r="A508" s="53" t="s">
        <v>2243</v>
      </c>
      <c r="B508" s="53" t="s">
        <v>2385</v>
      </c>
      <c r="C508" s="54" t="s">
        <v>3321</v>
      </c>
      <c r="D508" s="13" t="s">
        <v>1953</v>
      </c>
      <c r="E508" s="4" t="s">
        <v>1955</v>
      </c>
      <c r="F508" s="4" t="s">
        <v>1954</v>
      </c>
      <c r="G508" s="12" t="s">
        <v>27</v>
      </c>
      <c r="H508" s="4">
        <v>1326</v>
      </c>
      <c r="I508" s="5">
        <f t="shared" si="42"/>
        <v>1035.4125134990149</v>
      </c>
      <c r="J508" s="4">
        <v>3274</v>
      </c>
      <c r="K508" s="5">
        <f t="shared" si="43"/>
        <v>1767.5389368744577</v>
      </c>
      <c r="L508" s="5">
        <v>0</v>
      </c>
      <c r="M508" s="5">
        <v>0</v>
      </c>
      <c r="N508" s="4">
        <v>0</v>
      </c>
      <c r="O508" s="5">
        <f t="shared" si="44"/>
        <v>0</v>
      </c>
      <c r="P508" s="4">
        <v>0</v>
      </c>
      <c r="Q508" s="4">
        <v>0</v>
      </c>
      <c r="R508" s="4">
        <v>0</v>
      </c>
      <c r="S508" s="5">
        <f t="shared" si="45"/>
        <v>0</v>
      </c>
      <c r="T508" s="5">
        <f t="shared" si="46"/>
        <v>1.7070867058592287</v>
      </c>
      <c r="U508" s="5">
        <f t="shared" si="47"/>
        <v>0</v>
      </c>
      <c r="V508" s="4">
        <v>2</v>
      </c>
      <c r="W508" s="4">
        <v>0</v>
      </c>
      <c r="X508" s="4">
        <v>26</v>
      </c>
      <c r="Y508" s="4">
        <v>46</v>
      </c>
      <c r="Z508" s="4">
        <v>0</v>
      </c>
      <c r="AA508" s="4">
        <v>0</v>
      </c>
      <c r="AB508" s="4">
        <v>0</v>
      </c>
      <c r="AC508" s="4">
        <v>0</v>
      </c>
      <c r="AD508" s="4"/>
      <c r="AE508" s="54">
        <v>-3.4642219543457031E-4</v>
      </c>
      <c r="AF508" s="54">
        <v>-0.39295980334281921</v>
      </c>
    </row>
    <row r="509" spans="1:32" x14ac:dyDescent="0.2">
      <c r="A509" s="53" t="s">
        <v>2243</v>
      </c>
      <c r="B509" s="53" t="s">
        <v>2384</v>
      </c>
      <c r="C509" s="54" t="s">
        <v>3322</v>
      </c>
      <c r="D509" s="13" t="s">
        <v>1950</v>
      </c>
      <c r="E509" s="4" t="s">
        <v>1952</v>
      </c>
      <c r="F509" s="4" t="s">
        <v>1951</v>
      </c>
      <c r="G509" s="12" t="s">
        <v>27</v>
      </c>
      <c r="H509" s="4">
        <v>1452</v>
      </c>
      <c r="I509" s="5">
        <f t="shared" si="42"/>
        <v>1133.8001279038988</v>
      </c>
      <c r="J509" s="4">
        <v>517</v>
      </c>
      <c r="K509" s="5">
        <f t="shared" si="43"/>
        <v>279.11350957974793</v>
      </c>
      <c r="L509" s="5">
        <v>0</v>
      </c>
      <c r="M509" s="5">
        <v>0</v>
      </c>
      <c r="N509" s="4">
        <v>0</v>
      </c>
      <c r="O509" s="5">
        <f t="shared" si="44"/>
        <v>0</v>
      </c>
      <c r="P509" s="4">
        <v>0</v>
      </c>
      <c r="Q509" s="4">
        <v>0</v>
      </c>
      <c r="R509" s="4">
        <v>0</v>
      </c>
      <c r="S509" s="5">
        <f t="shared" si="45"/>
        <v>0</v>
      </c>
      <c r="T509" s="5">
        <f t="shared" si="46"/>
        <v>0.24617523204531308</v>
      </c>
      <c r="U509" s="5">
        <f t="shared" si="47"/>
        <v>0</v>
      </c>
      <c r="V509" s="4">
        <v>-13</v>
      </c>
      <c r="W509" s="4">
        <v>31</v>
      </c>
      <c r="X509" s="4">
        <v>3</v>
      </c>
      <c r="Y509" s="4">
        <v>1</v>
      </c>
      <c r="Z509" s="4">
        <v>0</v>
      </c>
      <c r="AA509" s="4">
        <v>0</v>
      </c>
      <c r="AB509" s="4">
        <v>0</v>
      </c>
      <c r="AC509" s="4">
        <v>0</v>
      </c>
      <c r="AD509" s="4"/>
      <c r="AE509" s="54">
        <v>1.032352447509766E-4</v>
      </c>
      <c r="AF509" s="54">
        <v>0.2267112135887146</v>
      </c>
    </row>
    <row r="510" spans="1:32" x14ac:dyDescent="0.2">
      <c r="A510" s="53" t="s">
        <v>2243</v>
      </c>
      <c r="B510" s="53" t="s">
        <v>2383</v>
      </c>
      <c r="C510" s="54" t="s">
        <v>3323</v>
      </c>
      <c r="D510" s="13" t="s">
        <v>1947</v>
      </c>
      <c r="E510" s="4" t="s">
        <v>1949</v>
      </c>
      <c r="F510" s="4" t="s">
        <v>1948</v>
      </c>
      <c r="G510" s="12" t="s">
        <v>27</v>
      </c>
      <c r="H510" s="4">
        <v>369</v>
      </c>
      <c r="I510" s="5">
        <f t="shared" si="42"/>
        <v>288.13515647144538</v>
      </c>
      <c r="J510" s="4">
        <v>2118</v>
      </c>
      <c r="K510" s="5">
        <f t="shared" si="43"/>
        <v>1143.4476079108435</v>
      </c>
      <c r="L510" s="5">
        <v>0</v>
      </c>
      <c r="M510" s="5">
        <v>0</v>
      </c>
      <c r="N510" s="4">
        <v>0</v>
      </c>
      <c r="O510" s="5">
        <f t="shared" si="44"/>
        <v>0</v>
      </c>
      <c r="P510" s="4">
        <v>0</v>
      </c>
      <c r="Q510" s="4">
        <v>0</v>
      </c>
      <c r="R510" s="4">
        <v>0</v>
      </c>
      <c r="S510" s="5">
        <f t="shared" si="45"/>
        <v>0</v>
      </c>
      <c r="T510" s="5">
        <f t="shared" si="46"/>
        <v>3.9684418309577607</v>
      </c>
      <c r="U510" s="5">
        <f t="shared" si="47"/>
        <v>0</v>
      </c>
      <c r="V510" s="4">
        <v>-5</v>
      </c>
      <c r="W510" s="4">
        <v>-1</v>
      </c>
      <c r="X510" s="4">
        <v>-50</v>
      </c>
      <c r="Y510" s="4">
        <v>1</v>
      </c>
      <c r="Z510" s="4">
        <v>0</v>
      </c>
      <c r="AA510" s="4">
        <v>0</v>
      </c>
      <c r="AB510" s="4">
        <v>0</v>
      </c>
      <c r="AC510" s="4">
        <v>0</v>
      </c>
      <c r="AD510" s="4"/>
      <c r="AE510" s="54">
        <v>-9.3197822570800781E-4</v>
      </c>
      <c r="AF510" s="54">
        <v>-0.66178512573242188</v>
      </c>
    </row>
    <row r="511" spans="1:32" x14ac:dyDescent="0.2">
      <c r="A511" s="53" t="s">
        <v>2243</v>
      </c>
      <c r="B511" s="53" t="s">
        <v>2382</v>
      </c>
      <c r="C511" s="54" t="s">
        <v>3324</v>
      </c>
      <c r="D511" s="13" t="s">
        <v>1773</v>
      </c>
      <c r="E511" s="4" t="s">
        <v>1775</v>
      </c>
      <c r="F511" s="4" t="s">
        <v>1774</v>
      </c>
      <c r="G511" s="12" t="s">
        <v>27</v>
      </c>
      <c r="H511" s="4">
        <v>443</v>
      </c>
      <c r="I511" s="5">
        <f t="shared" si="42"/>
        <v>345.91835858225011</v>
      </c>
      <c r="J511" s="4">
        <v>4736</v>
      </c>
      <c r="K511" s="5">
        <f t="shared" si="43"/>
        <v>2556.8309117402055</v>
      </c>
      <c r="L511" s="5">
        <v>0</v>
      </c>
      <c r="M511" s="5">
        <v>0</v>
      </c>
      <c r="N511" s="4">
        <v>0</v>
      </c>
      <c r="O511" s="5">
        <f t="shared" si="44"/>
        <v>0</v>
      </c>
      <c r="P511" s="4">
        <v>0</v>
      </c>
      <c r="Q511" s="4">
        <v>0</v>
      </c>
      <c r="R511" s="4">
        <v>0</v>
      </c>
      <c r="S511" s="5">
        <f t="shared" si="45"/>
        <v>0</v>
      </c>
      <c r="T511" s="5">
        <f t="shared" si="46"/>
        <v>7.3914287816911566</v>
      </c>
      <c r="U511" s="5">
        <f t="shared" si="47"/>
        <v>0</v>
      </c>
      <c r="V511" s="4">
        <v>17</v>
      </c>
      <c r="W511" s="4">
        <v>3</v>
      </c>
      <c r="X511" s="4">
        <v>-5</v>
      </c>
      <c r="Y511" s="4">
        <v>-25</v>
      </c>
      <c r="Z511" s="4">
        <v>0</v>
      </c>
      <c r="AA511" s="4">
        <v>0</v>
      </c>
      <c r="AB511" s="4">
        <v>0</v>
      </c>
      <c r="AC511" s="4">
        <v>0</v>
      </c>
      <c r="AD511" s="4"/>
      <c r="AE511" s="54">
        <v>-7.4601173400878906E-4</v>
      </c>
      <c r="AF511" s="54">
        <v>-0.59192442893981934</v>
      </c>
    </row>
    <row r="512" spans="1:32" x14ac:dyDescent="0.2">
      <c r="A512" s="53" t="s">
        <v>2243</v>
      </c>
      <c r="B512" s="53" t="s">
        <v>2381</v>
      </c>
      <c r="C512" s="54" t="s">
        <v>3325</v>
      </c>
      <c r="D512" s="13" t="s">
        <v>1482</v>
      </c>
      <c r="E512" s="4" t="s">
        <v>1484</v>
      </c>
      <c r="F512" s="4" t="s">
        <v>1483</v>
      </c>
      <c r="G512" s="12" t="s">
        <v>27</v>
      </c>
      <c r="H512" s="4">
        <v>1217</v>
      </c>
      <c r="I512" s="5">
        <f t="shared" si="42"/>
        <v>950.29941849796478</v>
      </c>
      <c r="J512" s="4">
        <v>535</v>
      </c>
      <c r="K512" s="5">
        <f t="shared" si="43"/>
        <v>288.83119463281457</v>
      </c>
      <c r="L512" s="5">
        <v>0</v>
      </c>
      <c r="M512" s="5">
        <v>0</v>
      </c>
      <c r="N512" s="4">
        <v>0</v>
      </c>
      <c r="O512" s="5">
        <f t="shared" si="44"/>
        <v>0</v>
      </c>
      <c r="P512" s="4">
        <v>0</v>
      </c>
      <c r="Q512" s="4">
        <v>0</v>
      </c>
      <c r="R512" s="4">
        <v>0</v>
      </c>
      <c r="S512" s="5">
        <f t="shared" si="45"/>
        <v>0</v>
      </c>
      <c r="T512" s="5">
        <f t="shared" si="46"/>
        <v>0.30393704237906272</v>
      </c>
      <c r="U512" s="5">
        <f t="shared" si="47"/>
        <v>0</v>
      </c>
      <c r="V512" s="4">
        <v>-26</v>
      </c>
      <c r="W512" s="4">
        <v>-37</v>
      </c>
      <c r="X512" s="4">
        <v>-20</v>
      </c>
      <c r="Y512" s="4">
        <v>41</v>
      </c>
      <c r="Z512" s="4">
        <v>0</v>
      </c>
      <c r="AA512" s="4">
        <v>0</v>
      </c>
      <c r="AB512" s="4">
        <v>0</v>
      </c>
      <c r="AC512" s="4">
        <v>0</v>
      </c>
      <c r="AD512" s="4"/>
      <c r="AE512" s="54">
        <v>-8.5377693176269531E-4</v>
      </c>
      <c r="AF512" s="54">
        <v>-0.63505297899246216</v>
      </c>
    </row>
    <row r="513" spans="1:32" x14ac:dyDescent="0.2">
      <c r="A513" s="53" t="s">
        <v>2243</v>
      </c>
      <c r="B513" s="53" t="s">
        <v>2380</v>
      </c>
      <c r="C513" s="54" t="s">
        <v>3326</v>
      </c>
      <c r="D513" s="13" t="s">
        <v>1616</v>
      </c>
      <c r="E513" s="4" t="s">
        <v>1618</v>
      </c>
      <c r="F513" s="4" t="s">
        <v>1617</v>
      </c>
      <c r="G513" s="12" t="s">
        <v>27</v>
      </c>
      <c r="H513" s="4">
        <v>2980</v>
      </c>
      <c r="I513" s="5">
        <f t="shared" si="42"/>
        <v>2326.945166083759</v>
      </c>
      <c r="J513" s="4">
        <v>1814</v>
      </c>
      <c r="K513" s="5">
        <f t="shared" si="43"/>
        <v>979.32670479238436</v>
      </c>
      <c r="L513" s="5">
        <v>0</v>
      </c>
      <c r="M513" s="5">
        <v>0</v>
      </c>
      <c r="N513" s="4">
        <v>0</v>
      </c>
      <c r="O513" s="5">
        <f t="shared" si="44"/>
        <v>0</v>
      </c>
      <c r="P513" s="4">
        <v>0</v>
      </c>
      <c r="Q513" s="4">
        <v>0</v>
      </c>
      <c r="R513" s="4">
        <v>0</v>
      </c>
      <c r="S513" s="5">
        <f t="shared" si="45"/>
        <v>0</v>
      </c>
      <c r="T513" s="5">
        <f t="shared" si="46"/>
        <v>0.42086367958579274</v>
      </c>
      <c r="U513" s="5">
        <f t="shared" si="47"/>
        <v>0</v>
      </c>
      <c r="V513" s="4">
        <v>40</v>
      </c>
      <c r="W513" s="4">
        <v>-3</v>
      </c>
      <c r="X513" s="4">
        <v>-41</v>
      </c>
      <c r="Y513" s="4">
        <v>-3</v>
      </c>
      <c r="Z513" s="4">
        <v>0</v>
      </c>
      <c r="AA513" s="4">
        <v>0</v>
      </c>
      <c r="AB513" s="4">
        <v>0</v>
      </c>
      <c r="AC513" s="4">
        <v>0</v>
      </c>
      <c r="AD513" s="4"/>
      <c r="AE513" s="54">
        <v>-1.9151926040649411E-2</v>
      </c>
      <c r="AF513" s="54">
        <v>-0.99930179119110107</v>
      </c>
    </row>
    <row r="514" spans="1:32" x14ac:dyDescent="0.2">
      <c r="A514" s="53" t="s">
        <v>2243</v>
      </c>
      <c r="B514" s="53" t="s">
        <v>2378</v>
      </c>
      <c r="C514" s="54" t="s">
        <v>3328</v>
      </c>
      <c r="D514" s="13" t="s">
        <v>1944</v>
      </c>
      <c r="E514" s="4" t="s">
        <v>1946</v>
      </c>
      <c r="F514" s="4" t="s">
        <v>1945</v>
      </c>
      <c r="G514" s="12" t="s">
        <v>27</v>
      </c>
      <c r="H514" s="4">
        <v>1612</v>
      </c>
      <c r="I514" s="5">
        <f t="shared" ref="I514:I577" si="48">H514/H$677*1000000</f>
        <v>1258.7367811164497</v>
      </c>
      <c r="J514" s="4">
        <v>831</v>
      </c>
      <c r="K514" s="5">
        <f t="shared" ref="K514:K577" si="49">J514/J$677*1000000</f>
        <v>448.63312661657739</v>
      </c>
      <c r="L514" s="5">
        <v>0</v>
      </c>
      <c r="M514" s="5">
        <v>0</v>
      </c>
      <c r="N514" s="4">
        <v>0</v>
      </c>
      <c r="O514" s="5">
        <f t="shared" ref="O514:O577" si="50">AVERAGE(L514:N514)</f>
        <v>0</v>
      </c>
      <c r="P514" s="4">
        <v>0</v>
      </c>
      <c r="Q514" s="4">
        <v>0</v>
      </c>
      <c r="R514" s="4">
        <v>0</v>
      </c>
      <c r="S514" s="5">
        <f t="shared" ref="S514:S577" si="51">AVERAGE(P514:R514)</f>
        <v>0</v>
      </c>
      <c r="T514" s="5">
        <f t="shared" ref="T514:T577" si="52">K514/I514</f>
        <v>0.35641536288361858</v>
      </c>
      <c r="U514" s="5">
        <f t="shared" ref="U514:U577" si="53">S514/((O514+1)*T514)</f>
        <v>0</v>
      </c>
      <c r="V514" s="4">
        <v>-7</v>
      </c>
      <c r="W514" s="4">
        <v>-49</v>
      </c>
      <c r="X514" s="4">
        <v>19</v>
      </c>
      <c r="Y514" s="4">
        <v>-45</v>
      </c>
      <c r="Z514" s="4">
        <v>0</v>
      </c>
      <c r="AA514" s="4">
        <v>0</v>
      </c>
      <c r="AB514" s="4">
        <v>0</v>
      </c>
      <c r="AC514" s="4">
        <v>0</v>
      </c>
      <c r="AD514" s="4"/>
      <c r="AE514" s="54">
        <v>2.5796890258789062E-4</v>
      </c>
      <c r="AF514" s="54">
        <v>0.35324940085411072</v>
      </c>
    </row>
    <row r="515" spans="1:32" x14ac:dyDescent="0.2">
      <c r="A515" s="53" t="s">
        <v>2243</v>
      </c>
      <c r="B515" s="53" t="s">
        <v>2377</v>
      </c>
      <c r="C515" s="54" t="s">
        <v>3329</v>
      </c>
      <c r="D515" s="13" t="s">
        <v>155</v>
      </c>
      <c r="E515" s="4" t="s">
        <v>157</v>
      </c>
      <c r="F515" s="4" t="s">
        <v>156</v>
      </c>
      <c r="G515" s="12" t="s">
        <v>27</v>
      </c>
      <c r="H515" s="4">
        <v>537</v>
      </c>
      <c r="I515" s="5">
        <f t="shared" si="48"/>
        <v>419.3186423446237</v>
      </c>
      <c r="J515" s="4">
        <v>2769</v>
      </c>
      <c r="K515" s="5">
        <f t="shared" si="49"/>
        <v>1494.9038839967543</v>
      </c>
      <c r="L515" s="5">
        <v>0</v>
      </c>
      <c r="M515" s="5">
        <v>0</v>
      </c>
      <c r="N515" s="4">
        <v>0</v>
      </c>
      <c r="O515" s="5">
        <f t="shared" si="50"/>
        <v>0</v>
      </c>
      <c r="P515" s="4">
        <v>0</v>
      </c>
      <c r="Q515" s="4">
        <v>0</v>
      </c>
      <c r="R515" s="4">
        <v>0</v>
      </c>
      <c r="S515" s="5">
        <f t="shared" si="51"/>
        <v>0</v>
      </c>
      <c r="T515" s="5">
        <f t="shared" si="52"/>
        <v>3.5650785179451758</v>
      </c>
      <c r="U515" s="5">
        <f t="shared" si="53"/>
        <v>0</v>
      </c>
      <c r="V515" s="4">
        <v>-2</v>
      </c>
      <c r="W515" s="4">
        <v>-6</v>
      </c>
      <c r="X515" s="4">
        <v>-2</v>
      </c>
      <c r="Y515" s="4">
        <v>-26</v>
      </c>
      <c r="Z515" s="4">
        <v>0.01</v>
      </c>
      <c r="AA515" s="4">
        <v>0</v>
      </c>
      <c r="AB515" s="4">
        <v>0</v>
      </c>
      <c r="AC515" s="4">
        <v>0</v>
      </c>
      <c r="AD515" s="4"/>
      <c r="AE515" s="54">
        <v>-1.1668205261230471E-3</v>
      </c>
      <c r="AF515" s="54">
        <v>-0.72725653648376465</v>
      </c>
    </row>
    <row r="516" spans="1:32" x14ac:dyDescent="0.2">
      <c r="A516" s="53" t="s">
        <v>2243</v>
      </c>
      <c r="B516" s="53" t="s">
        <v>2376</v>
      </c>
      <c r="C516" s="54" t="s">
        <v>3330</v>
      </c>
      <c r="D516" s="13" t="s">
        <v>957</v>
      </c>
      <c r="E516" s="4" t="s">
        <v>959</v>
      </c>
      <c r="F516" s="4" t="s">
        <v>958</v>
      </c>
      <c r="G516" s="12" t="s">
        <v>27</v>
      </c>
      <c r="H516" s="4">
        <v>716</v>
      </c>
      <c r="I516" s="5">
        <f t="shared" si="48"/>
        <v>559.09152312616493</v>
      </c>
      <c r="J516" s="4">
        <v>2797</v>
      </c>
      <c r="K516" s="5">
        <f t="shared" si="49"/>
        <v>1510.0202829681914</v>
      </c>
      <c r="L516" s="5">
        <v>0</v>
      </c>
      <c r="M516" s="5">
        <v>0</v>
      </c>
      <c r="N516" s="4">
        <v>0</v>
      </c>
      <c r="O516" s="5">
        <f t="shared" si="50"/>
        <v>0</v>
      </c>
      <c r="P516" s="4">
        <v>0</v>
      </c>
      <c r="Q516" s="4">
        <v>0</v>
      </c>
      <c r="R516" s="4">
        <v>0</v>
      </c>
      <c r="S516" s="5">
        <f t="shared" si="51"/>
        <v>0</v>
      </c>
      <c r="T516" s="5">
        <f t="shared" si="52"/>
        <v>2.7008463203392896</v>
      </c>
      <c r="U516" s="5">
        <f t="shared" si="53"/>
        <v>0</v>
      </c>
      <c r="V516" s="4">
        <v>30</v>
      </c>
      <c r="W516" s="4">
        <v>-3</v>
      </c>
      <c r="X516" s="4">
        <v>-41</v>
      </c>
      <c r="Y516" s="4">
        <v>31</v>
      </c>
      <c r="Z516" s="4">
        <v>0</v>
      </c>
      <c r="AA516" s="4">
        <v>0</v>
      </c>
      <c r="AB516" s="4">
        <v>0</v>
      </c>
      <c r="AC516" s="4">
        <v>0</v>
      </c>
      <c r="AD516" s="4"/>
      <c r="AE516" s="54">
        <v>-9.174346923828125E-4</v>
      </c>
      <c r="AF516" s="54">
        <v>-0.65525186061859131</v>
      </c>
    </row>
    <row r="517" spans="1:32" x14ac:dyDescent="0.2">
      <c r="A517" s="53" t="s">
        <v>2243</v>
      </c>
      <c r="B517" s="53" t="s">
        <v>2375</v>
      </c>
      <c r="C517" s="54" t="s">
        <v>3331</v>
      </c>
      <c r="D517" s="13" t="s">
        <v>954</v>
      </c>
      <c r="E517" s="4" t="s">
        <v>956</v>
      </c>
      <c r="F517" s="4" t="s">
        <v>955</v>
      </c>
      <c r="G517" s="4" t="s">
        <v>27</v>
      </c>
      <c r="H517" s="4">
        <v>494</v>
      </c>
      <c r="I517" s="5">
        <f t="shared" si="48"/>
        <v>385.74191679375065</v>
      </c>
      <c r="J517" s="4">
        <v>3077</v>
      </c>
      <c r="K517" s="5">
        <f t="shared" si="49"/>
        <v>1661.1842726825616</v>
      </c>
      <c r="L517" s="5">
        <v>0</v>
      </c>
      <c r="M517" s="5">
        <v>0</v>
      </c>
      <c r="N517" s="4">
        <v>0</v>
      </c>
      <c r="O517" s="5">
        <f t="shared" si="50"/>
        <v>0</v>
      </c>
      <c r="P517" s="4">
        <v>0</v>
      </c>
      <c r="Q517" s="4">
        <v>0</v>
      </c>
      <c r="R517" s="4">
        <v>0</v>
      </c>
      <c r="S517" s="5">
        <f t="shared" si="51"/>
        <v>0</v>
      </c>
      <c r="T517" s="5">
        <f t="shared" si="52"/>
        <v>4.3064655417543518</v>
      </c>
      <c r="U517" s="5">
        <f t="shared" si="53"/>
        <v>0</v>
      </c>
      <c r="V517" s="4">
        <v>20</v>
      </c>
      <c r="W517" s="4">
        <v>-2</v>
      </c>
      <c r="X517" s="4">
        <v>-33</v>
      </c>
      <c r="Y517" s="4">
        <v>-2</v>
      </c>
      <c r="Z517" s="4">
        <v>0</v>
      </c>
      <c r="AA517" s="4">
        <v>0</v>
      </c>
      <c r="AB517" s="4">
        <v>0</v>
      </c>
      <c r="AC517" s="4">
        <v>0</v>
      </c>
      <c r="AD517" s="4"/>
      <c r="AE517" s="54">
        <v>-3.6034584045410161E-3</v>
      </c>
      <c r="AF517" s="54">
        <v>-0.96533185243606567</v>
      </c>
    </row>
    <row r="518" spans="1:32" x14ac:dyDescent="0.2">
      <c r="A518" s="53" t="s">
        <v>2243</v>
      </c>
      <c r="B518" s="53" t="s">
        <v>2369</v>
      </c>
      <c r="C518" s="54" t="s">
        <v>3333</v>
      </c>
      <c r="D518" s="13" t="s">
        <v>1767</v>
      </c>
      <c r="E518" s="4" t="s">
        <v>1769</v>
      </c>
      <c r="F518" s="4" t="s">
        <v>1768</v>
      </c>
      <c r="G518" s="21" t="s">
        <v>293</v>
      </c>
      <c r="H518" s="4">
        <v>990</v>
      </c>
      <c r="I518" s="5">
        <f t="shared" si="48"/>
        <v>773.04554175265821</v>
      </c>
      <c r="J518" s="4">
        <v>5069</v>
      </c>
      <c r="K518" s="5">
        <f t="shared" si="49"/>
        <v>2736.6080852219388</v>
      </c>
      <c r="L518" s="5">
        <v>0</v>
      </c>
      <c r="M518" s="5">
        <v>0</v>
      </c>
      <c r="N518" s="4">
        <v>0</v>
      </c>
      <c r="O518" s="5">
        <f t="shared" si="50"/>
        <v>0</v>
      </c>
      <c r="P518" s="4">
        <v>0</v>
      </c>
      <c r="Q518" s="4">
        <v>0</v>
      </c>
      <c r="R518" s="4">
        <v>0</v>
      </c>
      <c r="S518" s="5">
        <f t="shared" si="51"/>
        <v>0</v>
      </c>
      <c r="T518" s="5">
        <f t="shared" si="52"/>
        <v>3.5400347552842333</v>
      </c>
      <c r="U518" s="5">
        <f t="shared" si="53"/>
        <v>0</v>
      </c>
      <c r="V518" s="4">
        <v>-2</v>
      </c>
      <c r="W518" s="4">
        <v>-39</v>
      </c>
      <c r="X518" s="4">
        <v>6</v>
      </c>
      <c r="Y518" s="4">
        <v>30</v>
      </c>
      <c r="Z518" s="4">
        <v>0</v>
      </c>
      <c r="AA518" s="4">
        <v>0</v>
      </c>
      <c r="AB518" s="4">
        <v>0</v>
      </c>
      <c r="AC518" s="4">
        <v>0</v>
      </c>
      <c r="AD518" s="4"/>
      <c r="AE518" s="54">
        <v>-7.7891349792480469E-4</v>
      </c>
      <c r="AF518" s="54">
        <v>-0.60670804977416992</v>
      </c>
    </row>
    <row r="519" spans="1:32" x14ac:dyDescent="0.2">
      <c r="A519" s="53" t="s">
        <v>2243</v>
      </c>
      <c r="B519" s="53" t="s">
        <v>2373</v>
      </c>
      <c r="C519" s="54" t="s">
        <v>3334</v>
      </c>
      <c r="D519" s="13" t="s">
        <v>1770</v>
      </c>
      <c r="E519" s="4" t="s">
        <v>1772</v>
      </c>
      <c r="F519" s="4" t="s">
        <v>1771</v>
      </c>
      <c r="G519" s="4" t="s">
        <v>164</v>
      </c>
      <c r="H519" s="4">
        <v>499</v>
      </c>
      <c r="I519" s="5">
        <f t="shared" si="48"/>
        <v>389.64618720664288</v>
      </c>
      <c r="J519" s="4">
        <v>2321</v>
      </c>
      <c r="K519" s="5">
        <f t="shared" si="49"/>
        <v>1253.041500453762</v>
      </c>
      <c r="L519" s="5">
        <v>0</v>
      </c>
      <c r="M519" s="5">
        <v>0</v>
      </c>
      <c r="N519" s="4">
        <v>0</v>
      </c>
      <c r="O519" s="5">
        <f t="shared" si="50"/>
        <v>0</v>
      </c>
      <c r="P519" s="4">
        <v>0</v>
      </c>
      <c r="Q519" s="4">
        <v>0</v>
      </c>
      <c r="R519" s="4">
        <v>0</v>
      </c>
      <c r="S519" s="5">
        <f t="shared" si="51"/>
        <v>0</v>
      </c>
      <c r="T519" s="5">
        <f t="shared" si="52"/>
        <v>3.2158443777847894</v>
      </c>
      <c r="U519" s="5">
        <f t="shared" si="53"/>
        <v>0</v>
      </c>
      <c r="V519" s="4">
        <v>-2</v>
      </c>
      <c r="W519" s="4">
        <v>-39</v>
      </c>
      <c r="X519" s="4">
        <v>-3</v>
      </c>
      <c r="Y519" s="4">
        <v>-22</v>
      </c>
      <c r="Z519" s="4">
        <v>0</v>
      </c>
      <c r="AA519" s="4">
        <v>0</v>
      </c>
      <c r="AB519" s="4">
        <v>0</v>
      </c>
      <c r="AC519" s="4">
        <v>0</v>
      </c>
      <c r="AD519" s="4"/>
      <c r="AE519" s="54">
        <v>3.0455589294433589E-3</v>
      </c>
      <c r="AF519" s="54">
        <v>0.94676601886749268</v>
      </c>
    </row>
    <row r="520" spans="1:32" x14ac:dyDescent="0.2">
      <c r="A520" s="53" t="s">
        <v>2243</v>
      </c>
      <c r="B520" s="53" t="s">
        <v>2374</v>
      </c>
      <c r="C520" s="54" t="s">
        <v>3335</v>
      </c>
      <c r="D520" s="13" t="s">
        <v>758</v>
      </c>
      <c r="E520" s="4" t="s">
        <v>760</v>
      </c>
      <c r="F520" s="4" t="s">
        <v>759</v>
      </c>
      <c r="G520" s="4" t="s">
        <v>809</v>
      </c>
      <c r="H520" s="4">
        <v>557</v>
      </c>
      <c r="I520" s="5">
        <f t="shared" si="48"/>
        <v>434.93572399619256</v>
      </c>
      <c r="J520" s="4">
        <v>1731</v>
      </c>
      <c r="K520" s="5">
        <f t="shared" si="49"/>
        <v>934.51737926991029</v>
      </c>
      <c r="L520" s="5">
        <v>0</v>
      </c>
      <c r="M520" s="5">
        <v>0</v>
      </c>
      <c r="N520" s="4">
        <v>0</v>
      </c>
      <c r="O520" s="5">
        <f t="shared" si="50"/>
        <v>0</v>
      </c>
      <c r="P520" s="4">
        <v>0</v>
      </c>
      <c r="Q520" s="4">
        <v>0</v>
      </c>
      <c r="R520" s="4">
        <v>0</v>
      </c>
      <c r="S520" s="5">
        <f t="shared" si="51"/>
        <v>0</v>
      </c>
      <c r="T520" s="5">
        <f t="shared" si="52"/>
        <v>2.148633298464329</v>
      </c>
      <c r="U520" s="5">
        <f t="shared" si="53"/>
        <v>0</v>
      </c>
      <c r="V520" s="4">
        <v>-5</v>
      </c>
      <c r="W520" s="4">
        <v>-43</v>
      </c>
      <c r="X520" s="4">
        <v>45</v>
      </c>
      <c r="Y520" s="4">
        <v>-31</v>
      </c>
      <c r="Z520" s="4">
        <v>0</v>
      </c>
      <c r="AA520" s="4">
        <v>0</v>
      </c>
      <c r="AB520" s="4">
        <v>0</v>
      </c>
      <c r="AC520" s="4">
        <v>0</v>
      </c>
      <c r="AD520" s="4"/>
      <c r="AE520" s="54">
        <v>-4.644393920898438E-4</v>
      </c>
      <c r="AF520" s="54">
        <v>-0.4590030312538147</v>
      </c>
    </row>
    <row r="521" spans="1:32" x14ac:dyDescent="0.2">
      <c r="A521" s="53" t="s">
        <v>2243</v>
      </c>
      <c r="B521" s="53" t="s">
        <v>2364</v>
      </c>
      <c r="C521" s="54" t="s">
        <v>3336</v>
      </c>
      <c r="D521" s="13" t="s">
        <v>1941</v>
      </c>
      <c r="E521" s="4" t="s">
        <v>1943</v>
      </c>
      <c r="F521" s="4" t="s">
        <v>1942</v>
      </c>
      <c r="G521" s="23" t="s">
        <v>293</v>
      </c>
      <c r="H521" s="4">
        <v>815</v>
      </c>
      <c r="I521" s="5">
        <f t="shared" si="48"/>
        <v>636.39607730143075</v>
      </c>
      <c r="J521" s="4">
        <v>1656</v>
      </c>
      <c r="K521" s="5">
        <f t="shared" si="49"/>
        <v>894.02702488213254</v>
      </c>
      <c r="L521" s="5">
        <v>0</v>
      </c>
      <c r="M521" s="5">
        <v>0</v>
      </c>
      <c r="N521" s="4">
        <v>0</v>
      </c>
      <c r="O521" s="5">
        <f t="shared" si="50"/>
        <v>0</v>
      </c>
      <c r="P521" s="4">
        <v>0</v>
      </c>
      <c r="Q521" s="4">
        <v>0</v>
      </c>
      <c r="R521" s="4">
        <v>0</v>
      </c>
      <c r="S521" s="5">
        <f t="shared" si="51"/>
        <v>0</v>
      </c>
      <c r="T521" s="5">
        <f t="shared" si="52"/>
        <v>1.4048279943414457</v>
      </c>
      <c r="U521" s="5">
        <f t="shared" si="53"/>
        <v>0</v>
      </c>
      <c r="V521" s="4" t="s">
        <v>21</v>
      </c>
      <c r="W521" s="4" t="s">
        <v>21</v>
      </c>
      <c r="X521" s="4" t="s">
        <v>21</v>
      </c>
      <c r="Y521" s="4" t="s">
        <v>21</v>
      </c>
      <c r="Z521" s="4">
        <v>0</v>
      </c>
      <c r="AA521" s="4">
        <v>0</v>
      </c>
      <c r="AB521" s="4">
        <v>0</v>
      </c>
      <c r="AC521" s="4">
        <v>0</v>
      </c>
      <c r="AD521" s="4"/>
      <c r="AE521" s="54">
        <v>2.0868539810180661E-2</v>
      </c>
      <c r="AF521" s="54">
        <v>0.99948269128799438</v>
      </c>
    </row>
    <row r="522" spans="1:32" x14ac:dyDescent="0.2">
      <c r="A522" s="53" t="s">
        <v>2243</v>
      </c>
      <c r="B522" s="53" t="s">
        <v>2366</v>
      </c>
      <c r="C522" s="54" t="s">
        <v>3337</v>
      </c>
      <c r="D522" s="13" t="s">
        <v>1764</v>
      </c>
      <c r="E522" s="4" t="s">
        <v>1766</v>
      </c>
      <c r="F522" s="4" t="s">
        <v>1765</v>
      </c>
      <c r="G522" s="23" t="s">
        <v>293</v>
      </c>
      <c r="H522" s="4">
        <v>616</v>
      </c>
      <c r="I522" s="5">
        <f t="shared" si="48"/>
        <v>481.00611486832065</v>
      </c>
      <c r="J522" s="4">
        <v>3428</v>
      </c>
      <c r="K522" s="5">
        <f t="shared" si="49"/>
        <v>1850.6791312173614</v>
      </c>
      <c r="L522" s="5">
        <v>0</v>
      </c>
      <c r="M522" s="5">
        <v>0</v>
      </c>
      <c r="N522" s="4">
        <v>0</v>
      </c>
      <c r="O522" s="5">
        <f t="shared" si="50"/>
        <v>0</v>
      </c>
      <c r="P522" s="4">
        <v>0</v>
      </c>
      <c r="Q522" s="4">
        <v>0</v>
      </c>
      <c r="R522" s="4">
        <v>0</v>
      </c>
      <c r="S522" s="5">
        <f t="shared" si="51"/>
        <v>0</v>
      </c>
      <c r="T522" s="5">
        <f t="shared" si="52"/>
        <v>3.8475168485623095</v>
      </c>
      <c r="U522" s="5">
        <f t="shared" si="53"/>
        <v>0</v>
      </c>
      <c r="V522" s="4">
        <v>-25</v>
      </c>
      <c r="W522" s="4">
        <v>-33</v>
      </c>
      <c r="X522" s="4">
        <v>13</v>
      </c>
      <c r="Y522" s="4">
        <v>-48</v>
      </c>
      <c r="Z522" s="4">
        <v>0</v>
      </c>
      <c r="AA522" s="4">
        <v>0</v>
      </c>
      <c r="AB522" s="4">
        <v>0</v>
      </c>
      <c r="AC522" s="4">
        <v>0</v>
      </c>
      <c r="AD522" s="4"/>
      <c r="AE522" s="54">
        <v>-2.430200576782227E-3</v>
      </c>
      <c r="AF522" s="54">
        <v>-0.90917575359344482</v>
      </c>
    </row>
    <row r="523" spans="1:32" x14ac:dyDescent="0.2">
      <c r="A523" s="53" t="s">
        <v>2243</v>
      </c>
      <c r="B523" s="53" t="s">
        <v>2367</v>
      </c>
      <c r="C523" s="54" t="s">
        <v>3338</v>
      </c>
      <c r="D523" s="13" t="s">
        <v>948</v>
      </c>
      <c r="E523" s="4" t="s">
        <v>950</v>
      </c>
      <c r="F523" s="4" t="s">
        <v>949</v>
      </c>
      <c r="G523" s="23" t="s">
        <v>293</v>
      </c>
      <c r="H523" s="4">
        <v>170</v>
      </c>
      <c r="I523" s="5">
        <f t="shared" si="48"/>
        <v>132.74519403833526</v>
      </c>
      <c r="J523" s="4">
        <v>980</v>
      </c>
      <c r="K523" s="5">
        <f t="shared" si="49"/>
        <v>529.07396400029586</v>
      </c>
      <c r="L523" s="5">
        <v>0</v>
      </c>
      <c r="M523" s="5">
        <v>0</v>
      </c>
      <c r="N523" s="4">
        <v>0</v>
      </c>
      <c r="O523" s="5">
        <f t="shared" si="50"/>
        <v>0</v>
      </c>
      <c r="P523" s="4">
        <v>0</v>
      </c>
      <c r="Q523" s="4">
        <v>0</v>
      </c>
      <c r="R523" s="4">
        <v>0</v>
      </c>
      <c r="S523" s="5">
        <f t="shared" si="51"/>
        <v>0</v>
      </c>
      <c r="T523" s="5">
        <f t="shared" si="52"/>
        <v>3.9856355466059696</v>
      </c>
      <c r="U523" s="5">
        <f t="shared" si="53"/>
        <v>0</v>
      </c>
      <c r="V523" s="4">
        <v>-2</v>
      </c>
      <c r="W523" s="4">
        <v>44</v>
      </c>
      <c r="X523" s="4">
        <v>10</v>
      </c>
      <c r="Y523" s="4">
        <v>36</v>
      </c>
      <c r="Z523" s="4">
        <v>0</v>
      </c>
      <c r="AA523" s="4">
        <v>0</v>
      </c>
      <c r="AB523" s="4">
        <v>0</v>
      </c>
      <c r="AC523" s="4">
        <v>0</v>
      </c>
      <c r="AD523" s="4"/>
      <c r="AE523" s="54">
        <v>-3.2806396484375E-4</v>
      </c>
      <c r="AF523" s="54">
        <v>-0.38316118717193598</v>
      </c>
    </row>
    <row r="524" spans="1:32" x14ac:dyDescent="0.2">
      <c r="A524" s="53" t="s">
        <v>2243</v>
      </c>
      <c r="B524" s="53" t="s">
        <v>2368</v>
      </c>
      <c r="C524" s="54" t="s">
        <v>3339</v>
      </c>
      <c r="D524" s="13" t="s">
        <v>951</v>
      </c>
      <c r="E524" s="4" t="s">
        <v>953</v>
      </c>
      <c r="F524" s="4" t="s">
        <v>952</v>
      </c>
      <c r="G524" s="23" t="s">
        <v>293</v>
      </c>
      <c r="H524" s="4">
        <v>621</v>
      </c>
      <c r="I524" s="5">
        <f t="shared" si="48"/>
        <v>484.91038528121288</v>
      </c>
      <c r="J524" s="4">
        <v>4886</v>
      </c>
      <c r="K524" s="5">
        <f t="shared" si="49"/>
        <v>2637.8116205157608</v>
      </c>
      <c r="L524" s="5">
        <v>0</v>
      </c>
      <c r="M524" s="5">
        <v>0</v>
      </c>
      <c r="N524" s="4">
        <v>0</v>
      </c>
      <c r="O524" s="5">
        <f t="shared" si="50"/>
        <v>0</v>
      </c>
      <c r="P524" s="4">
        <v>0</v>
      </c>
      <c r="Q524" s="4">
        <v>0</v>
      </c>
      <c r="R524" s="4">
        <v>0</v>
      </c>
      <c r="S524" s="5">
        <f t="shared" si="51"/>
        <v>0</v>
      </c>
      <c r="T524" s="5">
        <f t="shared" si="52"/>
        <v>5.4397919710175335</v>
      </c>
      <c r="U524" s="5">
        <f t="shared" si="53"/>
        <v>0</v>
      </c>
      <c r="V524" s="4">
        <v>-28</v>
      </c>
      <c r="W524" s="4">
        <v>-23</v>
      </c>
      <c r="X524" s="4">
        <v>20</v>
      </c>
      <c r="Y524" s="4">
        <v>-27</v>
      </c>
      <c r="Z524" s="4">
        <v>0</v>
      </c>
      <c r="AA524" s="4">
        <v>0</v>
      </c>
      <c r="AB524" s="4">
        <v>0</v>
      </c>
      <c r="AC524" s="4">
        <v>0</v>
      </c>
      <c r="AD524" s="4"/>
      <c r="AE524" s="54">
        <v>-4.7709941864013672E-3</v>
      </c>
      <c r="AF524" s="54">
        <v>-0.98474270105361938</v>
      </c>
    </row>
    <row r="525" spans="1:32" x14ac:dyDescent="0.2">
      <c r="A525" s="53" t="s">
        <v>2243</v>
      </c>
      <c r="B525" s="53" t="s">
        <v>2370</v>
      </c>
      <c r="C525" s="54" t="s">
        <v>3340</v>
      </c>
      <c r="D525" s="13" t="s">
        <v>1479</v>
      </c>
      <c r="E525" s="4" t="s">
        <v>1481</v>
      </c>
      <c r="F525" s="4" t="s">
        <v>1480</v>
      </c>
      <c r="G525" s="17" t="s">
        <v>293</v>
      </c>
      <c r="H525" s="4">
        <v>3908</v>
      </c>
      <c r="I525" s="5">
        <f t="shared" si="48"/>
        <v>3051.577754716554</v>
      </c>
      <c r="J525" s="4">
        <v>3711</v>
      </c>
      <c r="K525" s="5">
        <f t="shared" si="49"/>
        <v>2003.4627351072425</v>
      </c>
      <c r="L525" s="5">
        <v>0</v>
      </c>
      <c r="M525" s="5">
        <v>0</v>
      </c>
      <c r="N525" s="4">
        <v>0</v>
      </c>
      <c r="O525" s="5">
        <f t="shared" si="50"/>
        <v>0</v>
      </c>
      <c r="P525" s="4">
        <v>0</v>
      </c>
      <c r="Q525" s="4">
        <v>0</v>
      </c>
      <c r="R525" s="4">
        <v>0</v>
      </c>
      <c r="S525" s="5">
        <f t="shared" si="51"/>
        <v>0</v>
      </c>
      <c r="T525" s="5">
        <f t="shared" si="52"/>
        <v>0.65653340538698945</v>
      </c>
      <c r="U525" s="5">
        <f t="shared" si="53"/>
        <v>0</v>
      </c>
      <c r="V525" s="4">
        <v>-18</v>
      </c>
      <c r="W525" s="4">
        <v>-25</v>
      </c>
      <c r="X525" s="4">
        <v>-18</v>
      </c>
      <c r="Y525" s="4">
        <v>-16</v>
      </c>
      <c r="Z525" s="4">
        <v>0</v>
      </c>
      <c r="AA525" s="4">
        <v>0</v>
      </c>
      <c r="AB525" s="4">
        <v>0</v>
      </c>
      <c r="AC525" s="4">
        <v>0</v>
      </c>
      <c r="AD525" s="4"/>
      <c r="AE525" s="54">
        <v>-2.773046493530273E-3</v>
      </c>
      <c r="AF525" s="54">
        <v>-0.93191015720367432</v>
      </c>
    </row>
    <row r="526" spans="1:32" x14ac:dyDescent="0.2">
      <c r="A526" s="53" t="s">
        <v>2243</v>
      </c>
      <c r="B526" s="53" t="s">
        <v>2361</v>
      </c>
      <c r="C526" s="54" t="s">
        <v>3343</v>
      </c>
      <c r="D526" s="13" t="s">
        <v>945</v>
      </c>
      <c r="E526" s="4" t="s">
        <v>947</v>
      </c>
      <c r="F526" s="4" t="s">
        <v>946</v>
      </c>
      <c r="G526" s="23" t="s">
        <v>293</v>
      </c>
      <c r="H526" s="4">
        <v>3915</v>
      </c>
      <c r="I526" s="5">
        <f t="shared" si="48"/>
        <v>3057.043733294603</v>
      </c>
      <c r="J526" s="4">
        <v>4579</v>
      </c>
      <c r="K526" s="5">
        <f t="shared" si="49"/>
        <v>2472.0711032217905</v>
      </c>
      <c r="L526" s="5">
        <v>0</v>
      </c>
      <c r="M526" s="5">
        <v>0</v>
      </c>
      <c r="N526" s="4">
        <v>0</v>
      </c>
      <c r="O526" s="5">
        <f t="shared" si="50"/>
        <v>0</v>
      </c>
      <c r="P526" s="4">
        <v>0</v>
      </c>
      <c r="Q526" s="4">
        <v>0</v>
      </c>
      <c r="R526" s="4">
        <v>0</v>
      </c>
      <c r="S526" s="5">
        <f t="shared" si="51"/>
        <v>0</v>
      </c>
      <c r="T526" s="5">
        <f t="shared" si="52"/>
        <v>0.80864760824262649</v>
      </c>
      <c r="U526" s="5">
        <f t="shared" si="53"/>
        <v>0</v>
      </c>
      <c r="V526" s="4">
        <v>-15</v>
      </c>
      <c r="W526" s="4">
        <v>19</v>
      </c>
      <c r="X526" s="4">
        <v>6</v>
      </c>
      <c r="Y526" s="4">
        <v>-25</v>
      </c>
      <c r="Z526" s="4">
        <v>0</v>
      </c>
      <c r="AA526" s="4">
        <v>0</v>
      </c>
      <c r="AB526" s="4">
        <v>0</v>
      </c>
      <c r="AC526" s="4">
        <v>0</v>
      </c>
      <c r="AD526" s="4"/>
      <c r="AE526" s="54">
        <v>6.1178207397460938E-4</v>
      </c>
      <c r="AF526" s="54">
        <v>0.54511702060699463</v>
      </c>
    </row>
    <row r="527" spans="1:32" x14ac:dyDescent="0.2">
      <c r="A527" s="53" t="s">
        <v>2243</v>
      </c>
      <c r="B527" s="53" t="s">
        <v>2360</v>
      </c>
      <c r="C527" s="54" t="s">
        <v>3344</v>
      </c>
      <c r="D527" s="13" t="s">
        <v>942</v>
      </c>
      <c r="E527" s="4" t="s">
        <v>944</v>
      </c>
      <c r="F527" s="4" t="s">
        <v>943</v>
      </c>
      <c r="G527" s="23" t="s">
        <v>293</v>
      </c>
      <c r="H527" s="4">
        <v>4979</v>
      </c>
      <c r="I527" s="5">
        <f t="shared" si="48"/>
        <v>3887.872477158066</v>
      </c>
      <c r="J527" s="4">
        <v>3170</v>
      </c>
      <c r="K527" s="5">
        <f t="shared" si="49"/>
        <v>1711.3923121234061</v>
      </c>
      <c r="L527" s="5">
        <v>0</v>
      </c>
      <c r="M527" s="5">
        <v>0</v>
      </c>
      <c r="N527" s="4">
        <v>0</v>
      </c>
      <c r="O527" s="5">
        <f t="shared" si="50"/>
        <v>0</v>
      </c>
      <c r="P527" s="4">
        <v>0</v>
      </c>
      <c r="Q527" s="4">
        <v>0</v>
      </c>
      <c r="R527" s="4">
        <v>0</v>
      </c>
      <c r="S527" s="5">
        <f t="shared" si="51"/>
        <v>0</v>
      </c>
      <c r="T527" s="5">
        <f t="shared" si="52"/>
        <v>0.4401873575273203</v>
      </c>
      <c r="U527" s="5">
        <f t="shared" si="53"/>
        <v>0</v>
      </c>
      <c r="V527" s="4">
        <v>-14</v>
      </c>
      <c r="W527" s="4">
        <v>20</v>
      </c>
      <c r="X527" s="4">
        <v>-3</v>
      </c>
      <c r="Y527" s="4">
        <v>-24</v>
      </c>
      <c r="Z527" s="4">
        <v>0</v>
      </c>
      <c r="AA527" s="4">
        <v>0</v>
      </c>
      <c r="AB527" s="4">
        <v>0</v>
      </c>
      <c r="AC527" s="4">
        <v>0</v>
      </c>
      <c r="AD527" s="4"/>
      <c r="AE527" s="54">
        <v>4.7826766967773438E-3</v>
      </c>
      <c r="AF527" s="54">
        <v>0.98575574159622192</v>
      </c>
    </row>
    <row r="528" spans="1:32" x14ac:dyDescent="0.2">
      <c r="A528" s="53" t="s">
        <v>2243</v>
      </c>
      <c r="B528" s="53" t="s">
        <v>2363</v>
      </c>
      <c r="C528" s="54" t="s">
        <v>3347</v>
      </c>
      <c r="D528" s="13" t="s">
        <v>1761</v>
      </c>
      <c r="E528" s="4" t="s">
        <v>1763</v>
      </c>
      <c r="F528" s="4" t="s">
        <v>1762</v>
      </c>
      <c r="G528" s="23" t="s">
        <v>293</v>
      </c>
      <c r="H528" s="4">
        <v>391</v>
      </c>
      <c r="I528" s="5">
        <f t="shared" si="48"/>
        <v>305.31394628817105</v>
      </c>
      <c r="J528" s="4">
        <v>1860</v>
      </c>
      <c r="K528" s="5">
        <f t="shared" si="49"/>
        <v>1004.1607888168882</v>
      </c>
      <c r="L528" s="5">
        <v>0</v>
      </c>
      <c r="M528" s="5">
        <v>0</v>
      </c>
      <c r="N528" s="4">
        <v>0</v>
      </c>
      <c r="O528" s="5">
        <f t="shared" si="50"/>
        <v>0</v>
      </c>
      <c r="P528" s="4">
        <v>0</v>
      </c>
      <c r="Q528" s="4">
        <v>0</v>
      </c>
      <c r="R528" s="4">
        <v>0</v>
      </c>
      <c r="S528" s="5">
        <f t="shared" si="51"/>
        <v>0</v>
      </c>
      <c r="T528" s="5">
        <f t="shared" si="52"/>
        <v>3.2889450384592305</v>
      </c>
      <c r="U528" s="5">
        <f t="shared" si="53"/>
        <v>0</v>
      </c>
      <c r="V528" s="4">
        <v>-1</v>
      </c>
      <c r="W528" s="4">
        <v>-8</v>
      </c>
      <c r="X528" s="4">
        <v>47</v>
      </c>
      <c r="Y528" s="4">
        <v>19</v>
      </c>
      <c r="Z528" s="4">
        <v>0</v>
      </c>
      <c r="AA528" s="4">
        <v>0</v>
      </c>
      <c r="AB528" s="4">
        <v>0</v>
      </c>
      <c r="AC528" s="4">
        <v>0</v>
      </c>
      <c r="AD528" s="4"/>
      <c r="AE528" s="54">
        <v>2.7830600738525391E-3</v>
      </c>
      <c r="AF528" s="54">
        <v>0.93488073348999023</v>
      </c>
    </row>
    <row r="529" spans="1:32" x14ac:dyDescent="0.2">
      <c r="A529" s="53" t="s">
        <v>2243</v>
      </c>
      <c r="B529" s="53" t="s">
        <v>2362</v>
      </c>
      <c r="C529" s="54" t="s">
        <v>3348</v>
      </c>
      <c r="D529" s="13" t="s">
        <v>1758</v>
      </c>
      <c r="E529" s="4" t="s">
        <v>1760</v>
      </c>
      <c r="F529" s="4" t="s">
        <v>1759</v>
      </c>
      <c r="G529" s="23" t="s">
        <v>293</v>
      </c>
      <c r="H529" s="4">
        <v>1021</v>
      </c>
      <c r="I529" s="5">
        <f t="shared" si="48"/>
        <v>797.25201831258994</v>
      </c>
      <c r="J529" s="4">
        <v>2633</v>
      </c>
      <c r="K529" s="5">
        <f t="shared" si="49"/>
        <v>1421.4813747069172</v>
      </c>
      <c r="L529" s="5">
        <v>0</v>
      </c>
      <c r="M529" s="5">
        <v>0</v>
      </c>
      <c r="N529" s="4">
        <v>0</v>
      </c>
      <c r="O529" s="5">
        <f t="shared" si="50"/>
        <v>0</v>
      </c>
      <c r="P529" s="4">
        <v>0</v>
      </c>
      <c r="Q529" s="4">
        <v>0</v>
      </c>
      <c r="R529" s="4">
        <v>0</v>
      </c>
      <c r="S529" s="5">
        <f t="shared" si="51"/>
        <v>0</v>
      </c>
      <c r="T529" s="5">
        <f t="shared" si="52"/>
        <v>1.7829762008198227</v>
      </c>
      <c r="U529" s="5">
        <f t="shared" si="53"/>
        <v>0</v>
      </c>
      <c r="V529" s="4">
        <v>2</v>
      </c>
      <c r="W529" s="4">
        <v>-4</v>
      </c>
      <c r="X529" s="4">
        <v>-27</v>
      </c>
      <c r="Y529" s="4">
        <v>36</v>
      </c>
      <c r="Z529" s="4">
        <v>0</v>
      </c>
      <c r="AA529" s="4">
        <v>0</v>
      </c>
      <c r="AB529" s="4">
        <v>0</v>
      </c>
      <c r="AC529" s="4">
        <v>0</v>
      </c>
      <c r="AD529" s="4"/>
      <c r="AE529" s="54">
        <v>-9.6796035766601562E-2</v>
      </c>
      <c r="AF529" s="54">
        <v>-0.99994480609893799</v>
      </c>
    </row>
    <row r="530" spans="1:32" x14ac:dyDescent="0.2">
      <c r="A530" s="53" t="s">
        <v>2243</v>
      </c>
      <c r="B530" s="53" t="s">
        <v>2355</v>
      </c>
      <c r="C530" s="54" t="s">
        <v>3349</v>
      </c>
      <c r="D530" s="13" t="s">
        <v>2090</v>
      </c>
      <c r="E530" s="4" t="s">
        <v>2092</v>
      </c>
      <c r="F530" s="4" t="s">
        <v>2091</v>
      </c>
      <c r="G530" s="12" t="s">
        <v>745</v>
      </c>
      <c r="H530" s="4">
        <v>1741</v>
      </c>
      <c r="I530" s="5">
        <f t="shared" si="48"/>
        <v>1359.4669577690686</v>
      </c>
      <c r="J530" s="4">
        <v>4488</v>
      </c>
      <c r="K530" s="5">
        <f t="shared" si="49"/>
        <v>2422.9428065646202</v>
      </c>
      <c r="L530" s="5">
        <v>1</v>
      </c>
      <c r="M530" s="5">
        <v>0</v>
      </c>
      <c r="N530" s="4">
        <v>0</v>
      </c>
      <c r="O530" s="5">
        <f t="shared" si="50"/>
        <v>0.33333333333333331</v>
      </c>
      <c r="P530" s="4">
        <v>0</v>
      </c>
      <c r="Q530" s="4">
        <v>0</v>
      </c>
      <c r="R530" s="4">
        <v>0</v>
      </c>
      <c r="S530" s="5">
        <f t="shared" si="51"/>
        <v>0</v>
      </c>
      <c r="T530" s="5">
        <f t="shared" si="52"/>
        <v>1.7822741426100945</v>
      </c>
      <c r="U530" s="5">
        <f t="shared" si="53"/>
        <v>0</v>
      </c>
      <c r="V530" s="4">
        <v>-3</v>
      </c>
      <c r="W530" s="4">
        <v>7</v>
      </c>
      <c r="X530" s="4">
        <v>-3</v>
      </c>
      <c r="Y530" s="4">
        <v>-5</v>
      </c>
      <c r="Z530" s="4">
        <v>0</v>
      </c>
      <c r="AA530" s="4">
        <v>0</v>
      </c>
      <c r="AB530" s="4">
        <v>0</v>
      </c>
      <c r="AC530" s="4">
        <v>0</v>
      </c>
      <c r="AD530" s="4"/>
      <c r="AE530" s="54">
        <v>7.1430206298828125E-4</v>
      </c>
      <c r="AF530" s="54">
        <v>0.58437919616699219</v>
      </c>
    </row>
    <row r="531" spans="1:32" x14ac:dyDescent="0.2">
      <c r="A531" s="53" t="s">
        <v>2243</v>
      </c>
      <c r="B531" s="53" t="s">
        <v>2356</v>
      </c>
      <c r="C531" s="54" t="s">
        <v>3350</v>
      </c>
      <c r="D531" s="13" t="s">
        <v>939</v>
      </c>
      <c r="E531" s="4" t="s">
        <v>941</v>
      </c>
      <c r="F531" s="4" t="s">
        <v>940</v>
      </c>
      <c r="G531" s="12" t="s">
        <v>745</v>
      </c>
      <c r="H531" s="4">
        <v>2789</v>
      </c>
      <c r="I531" s="5">
        <f t="shared" si="48"/>
        <v>2177.8020363112764</v>
      </c>
      <c r="J531" s="4">
        <v>1163</v>
      </c>
      <c r="K531" s="5">
        <f t="shared" si="49"/>
        <v>627.87042870647349</v>
      </c>
      <c r="L531" s="5">
        <v>0</v>
      </c>
      <c r="M531" s="5">
        <v>0</v>
      </c>
      <c r="N531" s="4">
        <v>0</v>
      </c>
      <c r="O531" s="5">
        <f t="shared" si="50"/>
        <v>0</v>
      </c>
      <c r="P531" s="4">
        <v>0</v>
      </c>
      <c r="Q531" s="4">
        <v>0</v>
      </c>
      <c r="R531" s="4">
        <v>0</v>
      </c>
      <c r="S531" s="5">
        <f t="shared" si="51"/>
        <v>0</v>
      </c>
      <c r="T531" s="5">
        <f t="shared" si="52"/>
        <v>0.2883046384555456</v>
      </c>
      <c r="U531" s="5">
        <f t="shared" si="53"/>
        <v>0</v>
      </c>
      <c r="V531" s="4">
        <v>-2</v>
      </c>
      <c r="W531" s="4">
        <v>-26</v>
      </c>
      <c r="X531" s="4">
        <v>44</v>
      </c>
      <c r="Y531" s="4">
        <v>-12</v>
      </c>
      <c r="Z531" s="4">
        <v>0</v>
      </c>
      <c r="AA531" s="4">
        <v>0</v>
      </c>
      <c r="AB531" s="4">
        <v>0</v>
      </c>
      <c r="AC531" s="4">
        <v>0</v>
      </c>
      <c r="AD531" s="4"/>
      <c r="AE531" s="54">
        <v>-5.741119384765625E-4</v>
      </c>
      <c r="AF531" s="54">
        <v>-0.52033525705337524</v>
      </c>
    </row>
    <row r="532" spans="1:32" x14ac:dyDescent="0.2">
      <c r="A532" s="53" t="s">
        <v>2243</v>
      </c>
      <c r="B532" s="53" t="s">
        <v>2357</v>
      </c>
      <c r="C532" s="54" t="s">
        <v>3351</v>
      </c>
      <c r="D532" s="13" t="s">
        <v>1938</v>
      </c>
      <c r="E532" s="4" t="s">
        <v>1940</v>
      </c>
      <c r="F532" s="4" t="s">
        <v>1939</v>
      </c>
      <c r="G532" s="17" t="s">
        <v>355</v>
      </c>
      <c r="H532" s="4">
        <v>1738</v>
      </c>
      <c r="I532" s="5">
        <f t="shared" si="48"/>
        <v>1357.1243955213333</v>
      </c>
      <c r="J532" s="4">
        <v>3476</v>
      </c>
      <c r="K532" s="5">
        <f t="shared" si="49"/>
        <v>1876.5929580255392</v>
      </c>
      <c r="L532" s="5">
        <v>0</v>
      </c>
      <c r="M532" s="5">
        <v>0</v>
      </c>
      <c r="N532" s="4">
        <v>0</v>
      </c>
      <c r="O532" s="5">
        <f t="shared" si="50"/>
        <v>0</v>
      </c>
      <c r="P532" s="4">
        <v>0</v>
      </c>
      <c r="Q532" s="4">
        <v>0</v>
      </c>
      <c r="R532" s="4">
        <v>0</v>
      </c>
      <c r="S532" s="5">
        <f t="shared" si="51"/>
        <v>0</v>
      </c>
      <c r="T532" s="5">
        <f t="shared" si="52"/>
        <v>1.3827715161694183</v>
      </c>
      <c r="U532" s="5">
        <f t="shared" si="53"/>
        <v>0</v>
      </c>
      <c r="V532" s="4">
        <v>-34</v>
      </c>
      <c r="W532" s="4">
        <v>44</v>
      </c>
      <c r="X532" s="4">
        <v>41</v>
      </c>
      <c r="Y532" s="4">
        <v>16</v>
      </c>
      <c r="Z532" s="4">
        <v>0</v>
      </c>
      <c r="AA532" s="4">
        <v>0</v>
      </c>
      <c r="AB532" s="4">
        <v>0</v>
      </c>
      <c r="AC532" s="4">
        <v>0</v>
      </c>
      <c r="AD532" s="4"/>
      <c r="AE532" s="54">
        <v>-5.3524971008300781E-4</v>
      </c>
      <c r="AF532" s="54">
        <v>-0.50330859422683716</v>
      </c>
    </row>
    <row r="533" spans="1:32" x14ac:dyDescent="0.2">
      <c r="A533" s="53" t="s">
        <v>2243</v>
      </c>
      <c r="B533" s="53" t="s">
        <v>2354</v>
      </c>
      <c r="C533" s="54" t="s">
        <v>3352</v>
      </c>
      <c r="D533" s="13" t="s">
        <v>74</v>
      </c>
      <c r="E533" s="4" t="s">
        <v>76</v>
      </c>
      <c r="F533" s="4" t="s">
        <v>75</v>
      </c>
      <c r="G533" s="12" t="s">
        <v>745</v>
      </c>
      <c r="H533" s="4">
        <v>2641</v>
      </c>
      <c r="I533" s="5">
        <f t="shared" si="48"/>
        <v>2062.235632089667</v>
      </c>
      <c r="J533" s="4">
        <v>2671</v>
      </c>
      <c r="K533" s="5">
        <f t="shared" si="49"/>
        <v>1441.9964875967248</v>
      </c>
      <c r="L533" s="5">
        <v>0</v>
      </c>
      <c r="M533" s="5">
        <v>0</v>
      </c>
      <c r="N533" s="4">
        <v>0</v>
      </c>
      <c r="O533" s="5">
        <f t="shared" si="50"/>
        <v>0</v>
      </c>
      <c r="P533" s="4">
        <v>0</v>
      </c>
      <c r="Q533" s="4">
        <v>0</v>
      </c>
      <c r="R533" s="4">
        <v>0</v>
      </c>
      <c r="S533" s="5">
        <f t="shared" si="51"/>
        <v>0</v>
      </c>
      <c r="T533" s="5">
        <f t="shared" si="52"/>
        <v>0.69923943954723899</v>
      </c>
      <c r="U533" s="5">
        <f t="shared" si="53"/>
        <v>0</v>
      </c>
      <c r="V533" s="4" t="s">
        <v>21</v>
      </c>
      <c r="W533" s="4" t="s">
        <v>21</v>
      </c>
      <c r="X533" s="4" t="s">
        <v>21</v>
      </c>
      <c r="Y533" s="4" t="s">
        <v>21</v>
      </c>
      <c r="Z533" s="4">
        <v>0</v>
      </c>
      <c r="AA533" s="4">
        <v>0</v>
      </c>
      <c r="AB533" s="4">
        <v>0.05</v>
      </c>
      <c r="AC533" s="4">
        <v>0</v>
      </c>
      <c r="AD533" s="4"/>
      <c r="AE533" s="54">
        <v>-2.0742416381835941E-5</v>
      </c>
      <c r="AF533" s="54">
        <v>-8.057684451341629E-2</v>
      </c>
    </row>
    <row r="534" spans="1:32" x14ac:dyDescent="0.2">
      <c r="A534" s="53" t="s">
        <v>2243</v>
      </c>
      <c r="B534" s="53" t="s">
        <v>2352</v>
      </c>
      <c r="C534" s="54" t="s">
        <v>3353</v>
      </c>
      <c r="D534" s="13" t="s">
        <v>47</v>
      </c>
      <c r="E534" s="4" t="s">
        <v>49</v>
      </c>
      <c r="F534" s="4" t="s">
        <v>48</v>
      </c>
      <c r="G534" s="12" t="s">
        <v>745</v>
      </c>
      <c r="H534" s="4">
        <v>3050</v>
      </c>
      <c r="I534" s="5">
        <f t="shared" si="48"/>
        <v>2381.6049518642499</v>
      </c>
      <c r="J534" s="4">
        <v>3703</v>
      </c>
      <c r="K534" s="5">
        <f t="shared" si="49"/>
        <v>1999.1437639725464</v>
      </c>
      <c r="L534" s="5">
        <v>0</v>
      </c>
      <c r="M534" s="5">
        <v>0</v>
      </c>
      <c r="N534" s="4">
        <v>0</v>
      </c>
      <c r="O534" s="5">
        <f t="shared" si="50"/>
        <v>0</v>
      </c>
      <c r="P534" s="4">
        <v>0</v>
      </c>
      <c r="Q534" s="4">
        <v>0</v>
      </c>
      <c r="R534" s="4">
        <v>0</v>
      </c>
      <c r="S534" s="5">
        <f t="shared" si="51"/>
        <v>0</v>
      </c>
      <c r="T534" s="5">
        <f t="shared" si="52"/>
        <v>0.83941031547136979</v>
      </c>
      <c r="U534" s="5">
        <f t="shared" si="53"/>
        <v>0</v>
      </c>
      <c r="V534" s="4">
        <v>18</v>
      </c>
      <c r="W534" s="4">
        <v>5</v>
      </c>
      <c r="X534" s="4">
        <v>18</v>
      </c>
      <c r="Y534" s="4">
        <v>5</v>
      </c>
      <c r="Z534" s="4">
        <v>0</v>
      </c>
      <c r="AA534" s="4">
        <v>0</v>
      </c>
      <c r="AB534" s="4" t="s">
        <v>21</v>
      </c>
      <c r="AC534" s="4" t="s">
        <v>21</v>
      </c>
      <c r="AD534" s="4"/>
      <c r="AE534" s="54">
        <v>-1.1885166168212891E-3</v>
      </c>
      <c r="AF534" s="54">
        <v>-0.73264569044113159</v>
      </c>
    </row>
    <row r="535" spans="1:32" x14ac:dyDescent="0.2">
      <c r="A535" s="53" t="s">
        <v>2243</v>
      </c>
      <c r="B535" s="53" t="s">
        <v>2353</v>
      </c>
      <c r="C535" s="54" t="s">
        <v>3354</v>
      </c>
      <c r="D535" s="13" t="s">
        <v>1476</v>
      </c>
      <c r="E535" s="4" t="s">
        <v>1478</v>
      </c>
      <c r="F535" s="4" t="s">
        <v>1477</v>
      </c>
      <c r="G535" s="12" t="s">
        <v>745</v>
      </c>
      <c r="H535" s="4">
        <v>4230</v>
      </c>
      <c r="I535" s="5">
        <f t="shared" si="48"/>
        <v>3303.0127693068125</v>
      </c>
      <c r="J535" s="4">
        <v>480</v>
      </c>
      <c r="K535" s="5">
        <f t="shared" si="49"/>
        <v>259.13826808177754</v>
      </c>
      <c r="L535" s="5">
        <v>0</v>
      </c>
      <c r="M535" s="5">
        <v>0</v>
      </c>
      <c r="N535" s="4">
        <v>0</v>
      </c>
      <c r="O535" s="5">
        <f t="shared" si="50"/>
        <v>0</v>
      </c>
      <c r="P535" s="4">
        <v>0</v>
      </c>
      <c r="Q535" s="4">
        <v>0</v>
      </c>
      <c r="R535" s="4">
        <v>0</v>
      </c>
      <c r="S535" s="5">
        <f t="shared" si="51"/>
        <v>0</v>
      </c>
      <c r="T535" s="5">
        <f t="shared" si="52"/>
        <v>7.8455121484789669E-2</v>
      </c>
      <c r="U535" s="5">
        <f t="shared" si="53"/>
        <v>0</v>
      </c>
      <c r="V535" s="4">
        <v>15</v>
      </c>
      <c r="W535" s="4">
        <v>-10</v>
      </c>
      <c r="X535" s="4">
        <v>5</v>
      </c>
      <c r="Y535" s="4">
        <v>16</v>
      </c>
      <c r="Z535" s="4">
        <v>0</v>
      </c>
      <c r="AA535" s="4">
        <v>0</v>
      </c>
      <c r="AB535" s="4">
        <v>0</v>
      </c>
      <c r="AC535" s="4">
        <v>0.01</v>
      </c>
      <c r="AD535" s="4"/>
      <c r="AE535" s="54">
        <v>-4.2676925659179688E-4</v>
      </c>
      <c r="AF535" s="54">
        <v>-0.44060030579566961</v>
      </c>
    </row>
    <row r="536" spans="1:32" x14ac:dyDescent="0.2">
      <c r="A536" s="53" t="s">
        <v>2243</v>
      </c>
      <c r="B536" s="53" t="s">
        <v>2351</v>
      </c>
      <c r="C536" s="54" t="s">
        <v>3355</v>
      </c>
      <c r="D536" s="13" t="s">
        <v>152</v>
      </c>
      <c r="E536" s="4" t="s">
        <v>154</v>
      </c>
      <c r="F536" s="4" t="s">
        <v>153</v>
      </c>
      <c r="G536" s="12" t="s">
        <v>745</v>
      </c>
      <c r="H536" s="4">
        <v>802</v>
      </c>
      <c r="I536" s="5">
        <f t="shared" si="48"/>
        <v>626.24497422791103</v>
      </c>
      <c r="J536" s="4">
        <v>3300</v>
      </c>
      <c r="K536" s="5">
        <f t="shared" si="49"/>
        <v>1781.5755930622208</v>
      </c>
      <c r="L536" s="5">
        <v>0</v>
      </c>
      <c r="M536" s="5">
        <v>0</v>
      </c>
      <c r="N536" s="4">
        <v>0</v>
      </c>
      <c r="O536" s="5">
        <f t="shared" si="50"/>
        <v>0</v>
      </c>
      <c r="P536" s="4">
        <v>0</v>
      </c>
      <c r="Q536" s="4">
        <v>0</v>
      </c>
      <c r="R536" s="4">
        <v>0</v>
      </c>
      <c r="S536" s="5">
        <f t="shared" si="51"/>
        <v>0</v>
      </c>
      <c r="T536" s="5">
        <f t="shared" si="52"/>
        <v>2.8448541168074066</v>
      </c>
      <c r="U536" s="5">
        <f t="shared" si="53"/>
        <v>0</v>
      </c>
      <c r="V536" s="4">
        <v>-36</v>
      </c>
      <c r="W536" s="4" t="s">
        <v>21</v>
      </c>
      <c r="X536" s="4" t="s">
        <v>21</v>
      </c>
      <c r="Y536" s="4" t="s">
        <v>21</v>
      </c>
      <c r="Z536" s="4">
        <v>0.01</v>
      </c>
      <c r="AA536" s="4">
        <v>0</v>
      </c>
      <c r="AB536" s="4">
        <v>0</v>
      </c>
      <c r="AC536" s="4">
        <v>0</v>
      </c>
      <c r="AD536" s="4"/>
      <c r="AE536" s="54">
        <v>3.3647060394287109E-2</v>
      </c>
      <c r="AF536" s="54">
        <v>0.99975275993347168</v>
      </c>
    </row>
    <row r="537" spans="1:32" x14ac:dyDescent="0.2">
      <c r="A537" s="53" t="s">
        <v>2243</v>
      </c>
      <c r="B537" s="53" t="s">
        <v>2340</v>
      </c>
      <c r="C537" s="54" t="s">
        <v>3357</v>
      </c>
      <c r="D537" s="13" t="s">
        <v>755</v>
      </c>
      <c r="E537" s="4" t="s">
        <v>757</v>
      </c>
      <c r="F537" s="4" t="s">
        <v>756</v>
      </c>
      <c r="G537" s="17" t="s">
        <v>90</v>
      </c>
      <c r="H537" s="4">
        <v>3542</v>
      </c>
      <c r="I537" s="5">
        <f t="shared" si="48"/>
        <v>2765.7851604928442</v>
      </c>
      <c r="J537" s="4">
        <v>4649</v>
      </c>
      <c r="K537" s="5">
        <f t="shared" si="49"/>
        <v>2509.8621006503827</v>
      </c>
      <c r="L537" s="5">
        <v>0</v>
      </c>
      <c r="M537" s="5">
        <v>1</v>
      </c>
      <c r="N537" s="4">
        <v>0</v>
      </c>
      <c r="O537" s="5">
        <f t="shared" si="50"/>
        <v>0.33333333333333331</v>
      </c>
      <c r="P537" s="4">
        <v>0</v>
      </c>
      <c r="Q537" s="4">
        <v>0</v>
      </c>
      <c r="R537" s="4">
        <v>0</v>
      </c>
      <c r="S537" s="5">
        <f t="shared" si="51"/>
        <v>0</v>
      </c>
      <c r="T537" s="5">
        <f t="shared" si="52"/>
        <v>0.90746820704003717</v>
      </c>
      <c r="U537" s="5">
        <f t="shared" si="53"/>
        <v>0</v>
      </c>
      <c r="V537" s="4">
        <v>-45</v>
      </c>
      <c r="W537" s="4">
        <v>-1</v>
      </c>
      <c r="X537" s="4">
        <v>-5</v>
      </c>
      <c r="Y537" s="4">
        <v>1</v>
      </c>
      <c r="Z537" s="4">
        <v>0</v>
      </c>
      <c r="AA537" s="4">
        <v>0</v>
      </c>
      <c r="AB537" s="4">
        <v>0</v>
      </c>
      <c r="AC537" s="4">
        <v>0</v>
      </c>
      <c r="AD537" s="4"/>
      <c r="AE537" s="54">
        <v>-2.5248527526855469E-3</v>
      </c>
      <c r="AF537" s="54">
        <v>-0.91684973239898682</v>
      </c>
    </row>
    <row r="538" spans="1:32" x14ac:dyDescent="0.2">
      <c r="A538" s="53" t="s">
        <v>2243</v>
      </c>
      <c r="B538" s="53" t="s">
        <v>2342</v>
      </c>
      <c r="C538" s="54" t="s">
        <v>3359</v>
      </c>
      <c r="D538" s="13" t="s">
        <v>918</v>
      </c>
      <c r="E538" s="4" t="s">
        <v>920</v>
      </c>
      <c r="F538" s="4" t="s">
        <v>919</v>
      </c>
      <c r="G538" s="17" t="s">
        <v>90</v>
      </c>
      <c r="H538" s="4">
        <v>1378</v>
      </c>
      <c r="I538" s="5">
        <f t="shared" si="48"/>
        <v>1076.0169257930941</v>
      </c>
      <c r="J538" s="4">
        <v>3156</v>
      </c>
      <c r="K538" s="5">
        <f t="shared" si="49"/>
        <v>1703.8341126376874</v>
      </c>
      <c r="L538" s="5">
        <v>0</v>
      </c>
      <c r="M538" s="5">
        <v>0</v>
      </c>
      <c r="N538" s="4">
        <v>0</v>
      </c>
      <c r="O538" s="5">
        <f t="shared" si="50"/>
        <v>0</v>
      </c>
      <c r="P538" s="4">
        <v>0</v>
      </c>
      <c r="Q538" s="4">
        <v>0</v>
      </c>
      <c r="R538" s="4">
        <v>0</v>
      </c>
      <c r="S538" s="5">
        <f t="shared" si="51"/>
        <v>0</v>
      </c>
      <c r="T538" s="5">
        <f t="shared" si="52"/>
        <v>1.5834640439153422</v>
      </c>
      <c r="U538" s="5">
        <f t="shared" si="53"/>
        <v>0</v>
      </c>
      <c r="V538" s="4">
        <v>-1</v>
      </c>
      <c r="W538" s="4">
        <v>-18</v>
      </c>
      <c r="X538" s="4">
        <v>5</v>
      </c>
      <c r="Y538" s="4">
        <v>25</v>
      </c>
      <c r="Z538" s="4">
        <v>0</v>
      </c>
      <c r="AA538" s="4">
        <v>0</v>
      </c>
      <c r="AB538" s="4">
        <v>0</v>
      </c>
      <c r="AC538" s="4">
        <v>0</v>
      </c>
      <c r="AD538" s="4"/>
      <c r="AE538" s="54">
        <v>-2.6226043701171879E-6</v>
      </c>
      <c r="AF538" s="54">
        <v>-1.1535475961863989E-2</v>
      </c>
    </row>
    <row r="539" spans="1:32" x14ac:dyDescent="0.2">
      <c r="A539" s="53" t="s">
        <v>2243</v>
      </c>
      <c r="B539" s="53" t="s">
        <v>2343</v>
      </c>
      <c r="C539" s="54" t="s">
        <v>3360</v>
      </c>
      <c r="D539" s="13" t="s">
        <v>921</v>
      </c>
      <c r="E539" s="4" t="s">
        <v>923</v>
      </c>
      <c r="F539" s="4" t="s">
        <v>922</v>
      </c>
      <c r="G539" s="17" t="s">
        <v>90</v>
      </c>
      <c r="H539" s="4">
        <v>2170</v>
      </c>
      <c r="I539" s="5">
        <f t="shared" si="48"/>
        <v>1694.4533591952204</v>
      </c>
      <c r="J539" s="4">
        <v>4033</v>
      </c>
      <c r="K539" s="5">
        <f t="shared" si="49"/>
        <v>2177.3013232787689</v>
      </c>
      <c r="L539" s="5">
        <v>0</v>
      </c>
      <c r="M539" s="5">
        <v>0</v>
      </c>
      <c r="N539" s="4">
        <v>0</v>
      </c>
      <c r="O539" s="5">
        <f t="shared" si="50"/>
        <v>0</v>
      </c>
      <c r="P539" s="4">
        <v>0</v>
      </c>
      <c r="Q539" s="4">
        <v>0</v>
      </c>
      <c r="R539" s="4">
        <v>0</v>
      </c>
      <c r="S539" s="5">
        <f t="shared" si="51"/>
        <v>0</v>
      </c>
      <c r="T539" s="5">
        <f t="shared" si="52"/>
        <v>1.2849579550025956</v>
      </c>
      <c r="U539" s="5">
        <f t="shared" si="53"/>
        <v>0</v>
      </c>
      <c r="V539" s="4">
        <v>28</v>
      </c>
      <c r="W539" s="4">
        <v>-7</v>
      </c>
      <c r="X539" s="4">
        <v>-12</v>
      </c>
      <c r="Y539" s="4">
        <v>17</v>
      </c>
      <c r="Z539" s="4">
        <v>0</v>
      </c>
      <c r="AA539" s="4">
        <v>0</v>
      </c>
      <c r="AB539" s="4">
        <v>0</v>
      </c>
      <c r="AC539" s="4">
        <v>0</v>
      </c>
      <c r="AD539" s="4"/>
      <c r="AE539" s="54">
        <v>-4.1840076446533203E-3</v>
      </c>
      <c r="AF539" s="54">
        <v>-0.9769783616065979</v>
      </c>
    </row>
    <row r="540" spans="1:32" x14ac:dyDescent="0.2">
      <c r="A540" s="53" t="s">
        <v>2243</v>
      </c>
      <c r="B540" s="53" t="s">
        <v>2344</v>
      </c>
      <c r="C540" s="54" t="s">
        <v>3361</v>
      </c>
      <c r="D540" s="13" t="s">
        <v>924</v>
      </c>
      <c r="E540" s="4" t="s">
        <v>926</v>
      </c>
      <c r="F540" s="4" t="s">
        <v>925</v>
      </c>
      <c r="G540" s="17" t="s">
        <v>90</v>
      </c>
      <c r="H540" s="4">
        <v>2500</v>
      </c>
      <c r="I540" s="5">
        <f t="shared" si="48"/>
        <v>1952.1352064461066</v>
      </c>
      <c r="J540" s="4">
        <v>2069</v>
      </c>
      <c r="K540" s="5">
        <f t="shared" si="49"/>
        <v>1116.9939097108288</v>
      </c>
      <c r="L540" s="5">
        <v>0</v>
      </c>
      <c r="M540" s="5">
        <v>0</v>
      </c>
      <c r="N540" s="4">
        <v>0</v>
      </c>
      <c r="O540" s="5">
        <f t="shared" si="50"/>
        <v>0</v>
      </c>
      <c r="P540" s="4">
        <v>0</v>
      </c>
      <c r="Q540" s="4">
        <v>0</v>
      </c>
      <c r="R540" s="4">
        <v>0</v>
      </c>
      <c r="S540" s="5">
        <f t="shared" si="51"/>
        <v>0</v>
      </c>
      <c r="T540" s="5">
        <f t="shared" si="52"/>
        <v>0.57219085339090525</v>
      </c>
      <c r="U540" s="5">
        <f t="shared" si="53"/>
        <v>0</v>
      </c>
      <c r="V540" s="4">
        <v>-19</v>
      </c>
      <c r="W540" s="4">
        <v>3</v>
      </c>
      <c r="X540" s="4">
        <v>17</v>
      </c>
      <c r="Y540" s="4">
        <v>-7</v>
      </c>
      <c r="Z540" s="4">
        <v>0</v>
      </c>
      <c r="AA540" s="4">
        <v>0</v>
      </c>
      <c r="AB540" s="4">
        <v>0</v>
      </c>
      <c r="AC540" s="4">
        <v>0</v>
      </c>
      <c r="AD540" s="4"/>
      <c r="AE540" s="54">
        <v>1.5025138854980471E-3</v>
      </c>
      <c r="AF540" s="54">
        <v>0.80316084623336792</v>
      </c>
    </row>
    <row r="541" spans="1:32" x14ac:dyDescent="0.2">
      <c r="A541" s="53" t="s">
        <v>2243</v>
      </c>
      <c r="B541" s="53" t="s">
        <v>2345</v>
      </c>
      <c r="C541" s="54" t="s">
        <v>3362</v>
      </c>
      <c r="D541" s="13" t="s">
        <v>927</v>
      </c>
      <c r="E541" s="4" t="s">
        <v>929</v>
      </c>
      <c r="F541" s="4" t="s">
        <v>928</v>
      </c>
      <c r="G541" s="17" t="s">
        <v>90</v>
      </c>
      <c r="H541" s="4">
        <v>2634</v>
      </c>
      <c r="I541" s="5">
        <f t="shared" si="48"/>
        <v>2056.7696535116179</v>
      </c>
      <c r="J541" s="4">
        <v>3318</v>
      </c>
      <c r="K541" s="5">
        <f t="shared" si="49"/>
        <v>1791.2932781152874</v>
      </c>
      <c r="L541" s="5">
        <v>0</v>
      </c>
      <c r="M541" s="5">
        <v>0</v>
      </c>
      <c r="N541" s="4">
        <v>0</v>
      </c>
      <c r="O541" s="5">
        <f t="shared" si="50"/>
        <v>0</v>
      </c>
      <c r="P541" s="4">
        <v>0</v>
      </c>
      <c r="Q541" s="4">
        <v>0</v>
      </c>
      <c r="R541" s="4">
        <v>0</v>
      </c>
      <c r="S541" s="5">
        <f t="shared" si="51"/>
        <v>0</v>
      </c>
      <c r="T541" s="5">
        <f t="shared" si="52"/>
        <v>0.87092556770123952</v>
      </c>
      <c r="U541" s="5">
        <f t="shared" si="53"/>
        <v>0</v>
      </c>
      <c r="V541" s="4">
        <v>-4</v>
      </c>
      <c r="W541" s="4">
        <v>41</v>
      </c>
      <c r="X541" s="4">
        <v>33</v>
      </c>
      <c r="Y541" s="4">
        <v>5</v>
      </c>
      <c r="Z541" s="4">
        <v>0</v>
      </c>
      <c r="AA541" s="4">
        <v>0</v>
      </c>
      <c r="AB541" s="4">
        <v>0</v>
      </c>
      <c r="AC541" s="4">
        <v>0</v>
      </c>
      <c r="AD541" s="4"/>
      <c r="AE541" s="54">
        <v>2.3541450500488281E-3</v>
      </c>
      <c r="AF541" s="54">
        <v>0.90715432167053223</v>
      </c>
    </row>
    <row r="542" spans="1:32" x14ac:dyDescent="0.2">
      <c r="A542" s="53" t="s">
        <v>2243</v>
      </c>
      <c r="B542" s="53" t="s">
        <v>2346</v>
      </c>
      <c r="C542" s="54" t="s">
        <v>3363</v>
      </c>
      <c r="D542" s="13" t="s">
        <v>930</v>
      </c>
      <c r="E542" s="4" t="s">
        <v>932</v>
      </c>
      <c r="F542" s="4" t="s">
        <v>931</v>
      </c>
      <c r="G542" s="17" t="s">
        <v>90</v>
      </c>
      <c r="H542" s="4">
        <v>164</v>
      </c>
      <c r="I542" s="5">
        <f t="shared" si="48"/>
        <v>128.0600695428646</v>
      </c>
      <c r="J542" s="4">
        <v>4898</v>
      </c>
      <c r="K542" s="5">
        <f t="shared" si="49"/>
        <v>2644.290077217805</v>
      </c>
      <c r="L542" s="5">
        <v>0</v>
      </c>
      <c r="M542" s="5">
        <v>0</v>
      </c>
      <c r="N542" s="4">
        <v>0</v>
      </c>
      <c r="O542" s="5">
        <f t="shared" si="50"/>
        <v>0</v>
      </c>
      <c r="P542" s="4">
        <v>0</v>
      </c>
      <c r="Q542" s="4">
        <v>0</v>
      </c>
      <c r="R542" s="4">
        <v>0</v>
      </c>
      <c r="S542" s="5">
        <f t="shared" si="51"/>
        <v>0</v>
      </c>
      <c r="T542" s="5">
        <f t="shared" si="52"/>
        <v>20.648825872554298</v>
      </c>
      <c r="U542" s="5">
        <f t="shared" si="53"/>
        <v>0</v>
      </c>
      <c r="V542" s="4">
        <v>-27</v>
      </c>
      <c r="W542" s="4">
        <v>-35</v>
      </c>
      <c r="X542" s="4">
        <v>-42</v>
      </c>
      <c r="Y542" s="4">
        <v>22</v>
      </c>
      <c r="Z542" s="4">
        <v>0</v>
      </c>
      <c r="AA542" s="4">
        <v>0</v>
      </c>
      <c r="AB542" s="4">
        <v>0</v>
      </c>
      <c r="AC542" s="4">
        <v>0</v>
      </c>
      <c r="AD542" s="4"/>
      <c r="AE542" s="54">
        <v>-4.2200088500976562E-5</v>
      </c>
      <c r="AF542" s="54">
        <v>-0.12621910870075231</v>
      </c>
    </row>
    <row r="543" spans="1:32" x14ac:dyDescent="0.2">
      <c r="A543" s="53" t="s">
        <v>2243</v>
      </c>
      <c r="B543" s="53" t="s">
        <v>2348</v>
      </c>
      <c r="C543" s="54" t="s">
        <v>3365</v>
      </c>
      <c r="D543" s="13" t="s">
        <v>933</v>
      </c>
      <c r="E543" s="4" t="s">
        <v>935</v>
      </c>
      <c r="F543" s="4" t="s">
        <v>934</v>
      </c>
      <c r="G543" s="17" t="s">
        <v>198</v>
      </c>
      <c r="H543" s="4">
        <v>461</v>
      </c>
      <c r="I543" s="5">
        <f t="shared" si="48"/>
        <v>359.97373206866206</v>
      </c>
      <c r="J543" s="4">
        <v>1303</v>
      </c>
      <c r="K543" s="5">
        <f t="shared" si="49"/>
        <v>703.45242356365873</v>
      </c>
      <c r="L543" s="5">
        <v>0</v>
      </c>
      <c r="M543" s="5">
        <v>0</v>
      </c>
      <c r="N543" s="4">
        <v>0</v>
      </c>
      <c r="O543" s="5">
        <f t="shared" si="50"/>
        <v>0</v>
      </c>
      <c r="P543" s="4">
        <v>0</v>
      </c>
      <c r="Q543" s="4">
        <v>0</v>
      </c>
      <c r="R543" s="4">
        <v>0</v>
      </c>
      <c r="S543" s="5">
        <f t="shared" si="51"/>
        <v>0</v>
      </c>
      <c r="T543" s="5">
        <f t="shared" si="52"/>
        <v>1.9541770993153491</v>
      </c>
      <c r="U543" s="5">
        <f t="shared" si="53"/>
        <v>0</v>
      </c>
      <c r="V543" s="4">
        <v>-15</v>
      </c>
      <c r="W543" s="4">
        <v>42</v>
      </c>
      <c r="X543" s="4">
        <v>2</v>
      </c>
      <c r="Y543" s="4">
        <v>-50</v>
      </c>
      <c r="Z543" s="4">
        <v>0</v>
      </c>
      <c r="AA543" s="4">
        <v>0</v>
      </c>
      <c r="AB543" s="4">
        <v>0</v>
      </c>
      <c r="AC543" s="4">
        <v>0</v>
      </c>
      <c r="AD543" s="4"/>
      <c r="AE543" s="54">
        <v>-1.080036163330078E-4</v>
      </c>
      <c r="AF543" s="54">
        <v>-0.21573995053768161</v>
      </c>
    </row>
    <row r="544" spans="1:32" x14ac:dyDescent="0.2">
      <c r="A544" s="53" t="s">
        <v>2243</v>
      </c>
      <c r="B544" s="53" t="s">
        <v>2336</v>
      </c>
      <c r="C544" s="54" t="s">
        <v>3367</v>
      </c>
      <c r="D544" s="13" t="s">
        <v>1755</v>
      </c>
      <c r="E544" s="4" t="s">
        <v>1757</v>
      </c>
      <c r="F544" s="4" t="s">
        <v>1756</v>
      </c>
      <c r="G544" s="17" t="s">
        <v>90</v>
      </c>
      <c r="H544" s="4">
        <v>1311</v>
      </c>
      <c r="I544" s="5">
        <f t="shared" si="48"/>
        <v>1023.6997022603383</v>
      </c>
      <c r="J544" s="4">
        <v>2886</v>
      </c>
      <c r="K544" s="5">
        <f t="shared" si="49"/>
        <v>1558.0688368416877</v>
      </c>
      <c r="L544" s="5">
        <v>0</v>
      </c>
      <c r="M544" s="5">
        <v>0</v>
      </c>
      <c r="N544" s="4">
        <v>0</v>
      </c>
      <c r="O544" s="5">
        <f t="shared" si="50"/>
        <v>0</v>
      </c>
      <c r="P544" s="4">
        <v>0</v>
      </c>
      <c r="Q544" s="4">
        <v>0</v>
      </c>
      <c r="R544" s="4">
        <v>0</v>
      </c>
      <c r="S544" s="5">
        <f t="shared" si="51"/>
        <v>0</v>
      </c>
      <c r="T544" s="5">
        <f t="shared" si="52"/>
        <v>1.5219979388500919</v>
      </c>
      <c r="U544" s="5">
        <f t="shared" si="53"/>
        <v>0</v>
      </c>
      <c r="V544" s="4">
        <v>-17</v>
      </c>
      <c r="W544" s="4">
        <v>-5</v>
      </c>
      <c r="X544" s="4">
        <v>-17</v>
      </c>
      <c r="Y544" s="4">
        <v>-24</v>
      </c>
      <c r="Z544" s="4">
        <v>0</v>
      </c>
      <c r="AA544" s="4">
        <v>0</v>
      </c>
      <c r="AB544" s="4">
        <v>0</v>
      </c>
      <c r="AC544" s="4">
        <v>0</v>
      </c>
      <c r="AD544" s="4"/>
      <c r="AE544" s="54">
        <v>-1.811981201171875E-5</v>
      </c>
      <c r="AF544" s="54">
        <v>-8.057684451341629E-2</v>
      </c>
    </row>
    <row r="545" spans="1:32" x14ac:dyDescent="0.2">
      <c r="A545" s="53" t="s">
        <v>2243</v>
      </c>
      <c r="B545" s="53" t="s">
        <v>2335</v>
      </c>
      <c r="C545" s="54" t="s">
        <v>3368</v>
      </c>
      <c r="D545" s="13" t="s">
        <v>527</v>
      </c>
      <c r="E545" s="4" t="s">
        <v>529</v>
      </c>
      <c r="F545" s="4" t="s">
        <v>528</v>
      </c>
      <c r="G545" s="4" t="s">
        <v>164</v>
      </c>
      <c r="H545" s="4">
        <v>1452</v>
      </c>
      <c r="I545" s="5">
        <f t="shared" si="48"/>
        <v>1133.8001279038988</v>
      </c>
      <c r="J545" s="4">
        <v>4380</v>
      </c>
      <c r="K545" s="5">
        <f t="shared" si="49"/>
        <v>2364.6366962462203</v>
      </c>
      <c r="L545" s="5">
        <v>0</v>
      </c>
      <c r="M545" s="5">
        <v>0</v>
      </c>
      <c r="N545" s="4">
        <v>0</v>
      </c>
      <c r="O545" s="5">
        <f t="shared" si="50"/>
        <v>0</v>
      </c>
      <c r="P545" s="4">
        <v>0</v>
      </c>
      <c r="Q545" s="4">
        <v>0</v>
      </c>
      <c r="R545" s="4">
        <v>0</v>
      </c>
      <c r="S545" s="5">
        <f t="shared" si="51"/>
        <v>0</v>
      </c>
      <c r="T545" s="5">
        <f t="shared" si="52"/>
        <v>2.0855851380241224</v>
      </c>
      <c r="U545" s="5">
        <f t="shared" si="53"/>
        <v>0</v>
      </c>
      <c r="V545" s="4">
        <v>-25</v>
      </c>
      <c r="W545" s="4">
        <v>-15</v>
      </c>
      <c r="X545" s="4">
        <v>-25</v>
      </c>
      <c r="Y545" s="4">
        <v>8</v>
      </c>
      <c r="Z545" s="4">
        <v>0</v>
      </c>
      <c r="AA545" s="4">
        <v>0</v>
      </c>
      <c r="AB545" s="4">
        <v>0</v>
      </c>
      <c r="AC545" s="4">
        <v>0</v>
      </c>
      <c r="AD545" s="4"/>
      <c r="AE545" s="54">
        <v>-6.5708160400390625E-4</v>
      </c>
      <c r="AF545" s="54">
        <v>-0.55317401885986328</v>
      </c>
    </row>
    <row r="546" spans="1:32" x14ac:dyDescent="0.2">
      <c r="A546" s="53" t="s">
        <v>2243</v>
      </c>
      <c r="B546" s="53" t="s">
        <v>2334</v>
      </c>
      <c r="C546" s="54" t="s">
        <v>3369</v>
      </c>
      <c r="D546" s="13" t="s">
        <v>912</v>
      </c>
      <c r="E546" s="4" t="s">
        <v>914</v>
      </c>
      <c r="F546" s="4" t="s">
        <v>913</v>
      </c>
      <c r="G546" s="4" t="s">
        <v>164</v>
      </c>
      <c r="H546" s="4">
        <v>1627</v>
      </c>
      <c r="I546" s="5">
        <f t="shared" si="48"/>
        <v>1270.4495923551262</v>
      </c>
      <c r="J546" s="4">
        <v>1876</v>
      </c>
      <c r="K546" s="5">
        <f t="shared" si="49"/>
        <v>1012.7987310862806</v>
      </c>
      <c r="L546" s="5">
        <v>0</v>
      </c>
      <c r="M546" s="5">
        <v>0</v>
      </c>
      <c r="N546" s="4">
        <v>0</v>
      </c>
      <c r="O546" s="5">
        <f t="shared" si="50"/>
        <v>0</v>
      </c>
      <c r="P546" s="4">
        <v>0</v>
      </c>
      <c r="Q546" s="4">
        <v>0</v>
      </c>
      <c r="R546" s="4">
        <v>0</v>
      </c>
      <c r="S546" s="5">
        <f t="shared" si="51"/>
        <v>0</v>
      </c>
      <c r="T546" s="5">
        <f t="shared" si="52"/>
        <v>0.79719710028697854</v>
      </c>
      <c r="U546" s="5">
        <f t="shared" si="53"/>
        <v>0</v>
      </c>
      <c r="V546" s="4">
        <v>-5</v>
      </c>
      <c r="W546" s="4">
        <v>42</v>
      </c>
      <c r="X546" s="4">
        <v>-41</v>
      </c>
      <c r="Y546" s="4">
        <v>-10</v>
      </c>
      <c r="Z546" s="4">
        <v>0</v>
      </c>
      <c r="AA546" s="4">
        <v>0</v>
      </c>
      <c r="AB546" s="4">
        <v>0</v>
      </c>
      <c r="AC546" s="4">
        <v>0</v>
      </c>
      <c r="AD546" s="4"/>
      <c r="AE546" s="54">
        <v>-3.4260749816894531E-3</v>
      </c>
      <c r="AF546" s="54">
        <v>-0.96028685569763184</v>
      </c>
    </row>
    <row r="547" spans="1:32" x14ac:dyDescent="0.2">
      <c r="A547" s="53" t="s">
        <v>2243</v>
      </c>
      <c r="B547" s="53" t="s">
        <v>2339</v>
      </c>
      <c r="C547" s="54" t="s">
        <v>3370</v>
      </c>
      <c r="D547" s="13" t="s">
        <v>752</v>
      </c>
      <c r="E547" s="4" t="s">
        <v>754</v>
      </c>
      <c r="F547" s="4" t="s">
        <v>753</v>
      </c>
      <c r="G547" s="17" t="s">
        <v>90</v>
      </c>
      <c r="H547" s="4">
        <v>208</v>
      </c>
      <c r="I547" s="5">
        <f t="shared" si="48"/>
        <v>162.41764917631608</v>
      </c>
      <c r="J547" s="4">
        <v>889</v>
      </c>
      <c r="K547" s="5">
        <f t="shared" si="49"/>
        <v>479.94566734312554</v>
      </c>
      <c r="L547" s="5">
        <v>0</v>
      </c>
      <c r="M547" s="5">
        <v>0</v>
      </c>
      <c r="N547" s="4">
        <v>0</v>
      </c>
      <c r="O547" s="5">
        <f t="shared" si="50"/>
        <v>0</v>
      </c>
      <c r="P547" s="4">
        <v>0</v>
      </c>
      <c r="Q547" s="4">
        <v>0</v>
      </c>
      <c r="R547" s="4">
        <v>0</v>
      </c>
      <c r="S547" s="5">
        <f t="shared" si="51"/>
        <v>0</v>
      </c>
      <c r="T547" s="5">
        <f t="shared" si="52"/>
        <v>2.9550093218139728</v>
      </c>
      <c r="U547" s="5">
        <f t="shared" si="53"/>
        <v>0</v>
      </c>
      <c r="V547" s="4" t="s">
        <v>21</v>
      </c>
      <c r="W547" s="4" t="s">
        <v>21</v>
      </c>
      <c r="X547" s="4" t="s">
        <v>21</v>
      </c>
      <c r="Y547" s="4" t="s">
        <v>21</v>
      </c>
      <c r="Z547" s="4">
        <v>0</v>
      </c>
      <c r="AA547" s="4">
        <v>0</v>
      </c>
      <c r="AB547" s="4">
        <v>0</v>
      </c>
      <c r="AC547" s="4">
        <v>0</v>
      </c>
      <c r="AD547" s="4"/>
      <c r="AE547" s="54">
        <v>4.2452812194824219E-3</v>
      </c>
      <c r="AF547" s="54">
        <v>0.97898656129837036</v>
      </c>
    </row>
    <row r="548" spans="1:32" x14ac:dyDescent="0.2">
      <c r="A548" s="53" t="s">
        <v>2243</v>
      </c>
      <c r="B548" s="53" t="s">
        <v>2338</v>
      </c>
      <c r="C548" s="54" t="s">
        <v>3371</v>
      </c>
      <c r="D548" s="13" t="s">
        <v>915</v>
      </c>
      <c r="E548" s="4" t="s">
        <v>917</v>
      </c>
      <c r="F548" s="4" t="s">
        <v>916</v>
      </c>
      <c r="G548" s="17" t="s">
        <v>90</v>
      </c>
      <c r="H548" s="4">
        <v>2664</v>
      </c>
      <c r="I548" s="5">
        <f t="shared" si="48"/>
        <v>2080.1952759889714</v>
      </c>
      <c r="J548" s="4">
        <v>5041</v>
      </c>
      <c r="K548" s="5">
        <f t="shared" si="49"/>
        <v>2721.4916862505011</v>
      </c>
      <c r="L548" s="5">
        <v>0</v>
      </c>
      <c r="M548" s="5">
        <v>0</v>
      </c>
      <c r="N548" s="4">
        <v>0</v>
      </c>
      <c r="O548" s="5">
        <f t="shared" si="50"/>
        <v>0</v>
      </c>
      <c r="P548" s="4">
        <v>0</v>
      </c>
      <c r="Q548" s="4">
        <v>0</v>
      </c>
      <c r="R548" s="4">
        <v>0</v>
      </c>
      <c r="S548" s="5">
        <f t="shared" si="51"/>
        <v>0</v>
      </c>
      <c r="T548" s="5">
        <f t="shared" si="52"/>
        <v>1.30828663907846</v>
      </c>
      <c r="U548" s="5">
        <f t="shared" si="53"/>
        <v>0</v>
      </c>
      <c r="V548" s="4">
        <v>-1</v>
      </c>
      <c r="W548" s="4">
        <v>-4</v>
      </c>
      <c r="X548" s="4">
        <v>1</v>
      </c>
      <c r="Y548" s="4">
        <v>42</v>
      </c>
      <c r="Z548" s="4">
        <v>0</v>
      </c>
      <c r="AA548" s="4">
        <v>0</v>
      </c>
      <c r="AB548" s="4">
        <v>0</v>
      </c>
      <c r="AC548" s="4">
        <v>0</v>
      </c>
      <c r="AD548" s="4"/>
      <c r="AE548" s="54">
        <v>1.805305480957031E-3</v>
      </c>
      <c r="AF548" s="54">
        <v>0.85035198926925659</v>
      </c>
    </row>
    <row r="549" spans="1:32" x14ac:dyDescent="0.2">
      <c r="A549" s="53" t="s">
        <v>2243</v>
      </c>
      <c r="B549" s="53" t="s">
        <v>2337</v>
      </c>
      <c r="C549" s="54" t="s">
        <v>3372</v>
      </c>
      <c r="D549" s="13" t="s">
        <v>1935</v>
      </c>
      <c r="E549" s="4" t="s">
        <v>1937</v>
      </c>
      <c r="F549" s="4" t="s">
        <v>1936</v>
      </c>
      <c r="G549" s="17" t="s">
        <v>90</v>
      </c>
      <c r="H549" s="4">
        <v>133</v>
      </c>
      <c r="I549" s="5">
        <f t="shared" si="48"/>
        <v>103.85359298293287</v>
      </c>
      <c r="J549" s="4">
        <v>3961</v>
      </c>
      <c r="K549" s="5">
        <f t="shared" si="49"/>
        <v>2138.4305830665021</v>
      </c>
      <c r="L549" s="5">
        <v>0</v>
      </c>
      <c r="M549" s="5">
        <v>0</v>
      </c>
      <c r="N549" s="4">
        <v>0</v>
      </c>
      <c r="O549" s="5">
        <f t="shared" si="50"/>
        <v>0</v>
      </c>
      <c r="P549" s="4">
        <v>0</v>
      </c>
      <c r="Q549" s="4">
        <v>0</v>
      </c>
      <c r="R549" s="4">
        <v>0</v>
      </c>
      <c r="S549" s="5">
        <f t="shared" si="51"/>
        <v>0</v>
      </c>
      <c r="T549" s="5">
        <f t="shared" si="52"/>
        <v>20.590819456943859</v>
      </c>
      <c r="U549" s="5">
        <f t="shared" si="53"/>
        <v>0</v>
      </c>
      <c r="V549" s="4">
        <v>-18</v>
      </c>
      <c r="W549" s="4">
        <v>41</v>
      </c>
      <c r="X549" s="4">
        <v>-18</v>
      </c>
      <c r="Y549" s="4">
        <v>7</v>
      </c>
      <c r="Z549" s="4">
        <v>0</v>
      </c>
      <c r="AA549" s="4">
        <v>0</v>
      </c>
      <c r="AB549" s="4">
        <v>0</v>
      </c>
      <c r="AC549" s="4">
        <v>0</v>
      </c>
      <c r="AD549" s="4"/>
      <c r="AE549" s="54">
        <v>6.8271160125732422E-2</v>
      </c>
      <c r="AF549" s="54">
        <v>0.99992376565933228</v>
      </c>
    </row>
    <row r="550" spans="1:32" x14ac:dyDescent="0.2">
      <c r="A550" s="53" t="s">
        <v>2243</v>
      </c>
      <c r="B550" s="53" t="s">
        <v>2332</v>
      </c>
      <c r="C550" s="54" t="s">
        <v>3373</v>
      </c>
      <c r="D550" s="13" t="s">
        <v>906</v>
      </c>
      <c r="E550" s="4" t="s">
        <v>908</v>
      </c>
      <c r="F550" s="4" t="s">
        <v>907</v>
      </c>
      <c r="G550" s="4" t="s">
        <v>34</v>
      </c>
      <c r="H550" s="4">
        <v>412</v>
      </c>
      <c r="I550" s="5">
        <f t="shared" si="48"/>
        <v>321.71188202231838</v>
      </c>
      <c r="J550" s="4">
        <v>1711</v>
      </c>
      <c r="K550" s="5">
        <f t="shared" si="49"/>
        <v>923.71995143316963</v>
      </c>
      <c r="L550" s="5">
        <v>0</v>
      </c>
      <c r="M550" s="5">
        <v>0</v>
      </c>
      <c r="N550" s="4">
        <v>0</v>
      </c>
      <c r="O550" s="5">
        <f t="shared" si="50"/>
        <v>0</v>
      </c>
      <c r="P550" s="4">
        <v>0</v>
      </c>
      <c r="Q550" s="4">
        <v>0</v>
      </c>
      <c r="R550" s="4">
        <v>0</v>
      </c>
      <c r="S550" s="5">
        <f t="shared" si="51"/>
        <v>0</v>
      </c>
      <c r="T550" s="5">
        <f t="shared" si="52"/>
        <v>2.8712646409780032</v>
      </c>
      <c r="U550" s="5">
        <f t="shared" si="53"/>
        <v>0</v>
      </c>
      <c r="V550" s="4">
        <v>34</v>
      </c>
      <c r="W550" s="4">
        <v>-1</v>
      </c>
      <c r="X550" s="4">
        <v>34</v>
      </c>
      <c r="Y550" s="4">
        <v>1</v>
      </c>
      <c r="Z550" s="4">
        <v>0</v>
      </c>
      <c r="AA550" s="4">
        <v>0</v>
      </c>
      <c r="AB550" s="4">
        <v>0</v>
      </c>
      <c r="AC550" s="4">
        <v>0</v>
      </c>
      <c r="AD550" s="4"/>
      <c r="AE550" s="54">
        <v>-2.9423236846923828E-3</v>
      </c>
      <c r="AF550" s="54">
        <v>-0.94045054912567139</v>
      </c>
    </row>
    <row r="551" spans="1:32" x14ac:dyDescent="0.2">
      <c r="A551" s="53" t="s">
        <v>2243</v>
      </c>
      <c r="B551" s="53" t="s">
        <v>2333</v>
      </c>
      <c r="C551" s="54" t="s">
        <v>3374</v>
      </c>
      <c r="D551" s="13" t="s">
        <v>909</v>
      </c>
      <c r="E551" s="4" t="s">
        <v>911</v>
      </c>
      <c r="F551" s="4" t="s">
        <v>910</v>
      </c>
      <c r="G551" s="4" t="s">
        <v>365</v>
      </c>
      <c r="H551" s="4">
        <v>381</v>
      </c>
      <c r="I551" s="5">
        <f t="shared" si="48"/>
        <v>297.50540546238665</v>
      </c>
      <c r="J551" s="4">
        <v>1351</v>
      </c>
      <c r="K551" s="5">
        <f t="shared" si="49"/>
        <v>729.36625037183637</v>
      </c>
      <c r="L551" s="5">
        <v>0</v>
      </c>
      <c r="M551" s="5">
        <v>0</v>
      </c>
      <c r="N551" s="4">
        <v>0</v>
      </c>
      <c r="O551" s="5">
        <f t="shared" si="50"/>
        <v>0</v>
      </c>
      <c r="P551" s="4">
        <v>0</v>
      </c>
      <c r="Q551" s="4">
        <v>0</v>
      </c>
      <c r="R551" s="4">
        <v>0</v>
      </c>
      <c r="S551" s="5">
        <f t="shared" si="51"/>
        <v>0</v>
      </c>
      <c r="T551" s="5">
        <f t="shared" si="52"/>
        <v>2.4516067169880364</v>
      </c>
      <c r="U551" s="5">
        <f t="shared" si="53"/>
        <v>0</v>
      </c>
      <c r="V551" s="4">
        <v>32</v>
      </c>
      <c r="W551" s="4">
        <v>31</v>
      </c>
      <c r="X551" s="4">
        <v>-1</v>
      </c>
      <c r="Y551" s="4">
        <v>32</v>
      </c>
      <c r="Z551" s="4">
        <v>0</v>
      </c>
      <c r="AA551" s="4">
        <v>0</v>
      </c>
      <c r="AB551" s="4">
        <v>0</v>
      </c>
      <c r="AC551" s="4">
        <v>0</v>
      </c>
      <c r="AD551" s="4"/>
      <c r="AE551" s="54">
        <v>-1.5509128570556641E-3</v>
      </c>
      <c r="AF551" s="54">
        <v>-0.80721759796142578</v>
      </c>
    </row>
    <row r="552" spans="1:32" x14ac:dyDescent="0.2">
      <c r="A552" s="53" t="s">
        <v>2243</v>
      </c>
      <c r="B552" s="53" t="s">
        <v>2328</v>
      </c>
      <c r="C552" s="54" t="s">
        <v>3375</v>
      </c>
      <c r="D552" s="13" t="s">
        <v>1752</v>
      </c>
      <c r="E552" s="4" t="s">
        <v>1754</v>
      </c>
      <c r="F552" s="4" t="s">
        <v>1753</v>
      </c>
      <c r="G552" s="17" t="s">
        <v>90</v>
      </c>
      <c r="H552" s="4">
        <v>1590</v>
      </c>
      <c r="I552" s="5">
        <f t="shared" si="48"/>
        <v>1241.5579912997239</v>
      </c>
      <c r="J552" s="4">
        <v>3179</v>
      </c>
      <c r="K552" s="5">
        <f t="shared" si="49"/>
        <v>1716.2511546499393</v>
      </c>
      <c r="L552" s="5">
        <v>0</v>
      </c>
      <c r="M552" s="5">
        <v>0</v>
      </c>
      <c r="N552" s="4">
        <v>0</v>
      </c>
      <c r="O552" s="5">
        <f t="shared" si="50"/>
        <v>0</v>
      </c>
      <c r="P552" s="4">
        <v>0</v>
      </c>
      <c r="Q552" s="4">
        <v>0</v>
      </c>
      <c r="R552" s="4">
        <v>0</v>
      </c>
      <c r="S552" s="5">
        <f t="shared" si="51"/>
        <v>0</v>
      </c>
      <c r="T552" s="5">
        <f t="shared" si="52"/>
        <v>1.382336682359302</v>
      </c>
      <c r="U552" s="5">
        <f t="shared" si="53"/>
        <v>0</v>
      </c>
      <c r="V552" s="4">
        <v>-21</v>
      </c>
      <c r="W552" s="4">
        <v>12</v>
      </c>
      <c r="X552" s="4">
        <v>-25</v>
      </c>
      <c r="Y552" s="4">
        <v>18</v>
      </c>
      <c r="Z552" s="4">
        <v>0</v>
      </c>
      <c r="AA552" s="4">
        <v>0</v>
      </c>
      <c r="AB552" s="4">
        <v>0</v>
      </c>
      <c r="AC552" s="4">
        <v>0</v>
      </c>
      <c r="AD552" s="4"/>
      <c r="AE552" s="54">
        <v>1.005887985229492E-3</v>
      </c>
      <c r="AF552" s="54">
        <v>0.68693405389785767</v>
      </c>
    </row>
    <row r="553" spans="1:32" x14ac:dyDescent="0.2">
      <c r="A553" s="53" t="s">
        <v>2243</v>
      </c>
      <c r="B553" s="53" t="s">
        <v>2329</v>
      </c>
      <c r="C553" s="54" t="s">
        <v>3376</v>
      </c>
      <c r="D553" s="13" t="s">
        <v>1470</v>
      </c>
      <c r="E553" s="4" t="s">
        <v>1472</v>
      </c>
      <c r="F553" s="4" t="s">
        <v>1471</v>
      </c>
      <c r="G553" s="4" t="s">
        <v>34</v>
      </c>
      <c r="H553" s="4">
        <v>4918</v>
      </c>
      <c r="I553" s="5">
        <f t="shared" si="48"/>
        <v>3840.2403781207809</v>
      </c>
      <c r="J553" s="4">
        <v>2359</v>
      </c>
      <c r="K553" s="5">
        <f t="shared" si="49"/>
        <v>1273.5566133435691</v>
      </c>
      <c r="L553" s="5">
        <v>0</v>
      </c>
      <c r="M553" s="5">
        <v>0</v>
      </c>
      <c r="N553" s="4">
        <v>0</v>
      </c>
      <c r="O553" s="5">
        <f t="shared" si="50"/>
        <v>0</v>
      </c>
      <c r="P553" s="4">
        <v>0</v>
      </c>
      <c r="Q553" s="4">
        <v>0</v>
      </c>
      <c r="R553" s="4">
        <v>0</v>
      </c>
      <c r="S553" s="5">
        <f t="shared" si="51"/>
        <v>0</v>
      </c>
      <c r="T553" s="5">
        <f t="shared" si="52"/>
        <v>0.33163460823949337</v>
      </c>
      <c r="U553" s="5">
        <f t="shared" si="53"/>
        <v>0</v>
      </c>
      <c r="V553" s="4">
        <v>6</v>
      </c>
      <c r="W553" s="4">
        <v>-50</v>
      </c>
      <c r="X553" s="4">
        <v>-49</v>
      </c>
      <c r="Y553" s="4">
        <v>2</v>
      </c>
      <c r="Z553" s="4">
        <v>0</v>
      </c>
      <c r="AA553" s="4">
        <v>0</v>
      </c>
      <c r="AB553" s="4">
        <v>0</v>
      </c>
      <c r="AC553" s="4">
        <v>0</v>
      </c>
      <c r="AD553" s="4"/>
      <c r="AE553" s="54">
        <v>1.2946128845214839E-3</v>
      </c>
      <c r="AF553" s="54">
        <v>0.7631148099899292</v>
      </c>
    </row>
    <row r="554" spans="1:32" x14ac:dyDescent="0.2">
      <c r="A554" s="53" t="s">
        <v>2243</v>
      </c>
      <c r="B554" s="53" t="s">
        <v>2330</v>
      </c>
      <c r="C554" s="54" t="s">
        <v>3377</v>
      </c>
      <c r="D554" s="13" t="s">
        <v>524</v>
      </c>
      <c r="E554" s="4" t="s">
        <v>526</v>
      </c>
      <c r="F554" s="4" t="s">
        <v>525</v>
      </c>
      <c r="G554" s="4" t="s">
        <v>635</v>
      </c>
      <c r="H554" s="4">
        <v>1041</v>
      </c>
      <c r="I554" s="5">
        <f t="shared" si="48"/>
        <v>812.86909996415886</v>
      </c>
      <c r="J554" s="4">
        <v>3132</v>
      </c>
      <c r="K554" s="5">
        <f t="shared" si="49"/>
        <v>1690.8771992335985</v>
      </c>
      <c r="L554" s="5">
        <v>0</v>
      </c>
      <c r="M554" s="5">
        <v>0</v>
      </c>
      <c r="N554" s="4">
        <v>0</v>
      </c>
      <c r="O554" s="5">
        <f t="shared" si="50"/>
        <v>0</v>
      </c>
      <c r="P554" s="4">
        <v>0</v>
      </c>
      <c r="Q554" s="4">
        <v>0</v>
      </c>
      <c r="R554" s="4">
        <v>0</v>
      </c>
      <c r="S554" s="5">
        <f t="shared" si="51"/>
        <v>0</v>
      </c>
      <c r="T554" s="5">
        <f t="shared" si="52"/>
        <v>2.0801346727390091</v>
      </c>
      <c r="U554" s="5">
        <f t="shared" si="53"/>
        <v>0</v>
      </c>
      <c r="V554" s="4">
        <v>46</v>
      </c>
      <c r="W554" s="4">
        <v>-10</v>
      </c>
      <c r="X554" s="4">
        <v>-35</v>
      </c>
      <c r="Y554" s="4">
        <v>-9</v>
      </c>
      <c r="Z554" s="4">
        <v>0</v>
      </c>
      <c r="AA554" s="4">
        <v>0</v>
      </c>
      <c r="AB554" s="4">
        <v>0</v>
      </c>
      <c r="AC554" s="4">
        <v>0</v>
      </c>
      <c r="AD554" s="4"/>
      <c r="AE554" s="54">
        <v>2.5970935821533199E-3</v>
      </c>
      <c r="AF554" s="54">
        <v>0.92390108108520508</v>
      </c>
    </row>
    <row r="555" spans="1:32" x14ac:dyDescent="0.2">
      <c r="A555" s="53" t="s">
        <v>2243</v>
      </c>
      <c r="B555" s="53" t="s">
        <v>2331</v>
      </c>
      <c r="C555" s="54" t="s">
        <v>3378</v>
      </c>
      <c r="D555" s="13" t="s">
        <v>1473</v>
      </c>
      <c r="E555" s="4" t="s">
        <v>1475</v>
      </c>
      <c r="F555" s="4" t="s">
        <v>1474</v>
      </c>
      <c r="G555" s="4" t="s">
        <v>132</v>
      </c>
      <c r="H555" s="4">
        <v>1199</v>
      </c>
      <c r="I555" s="5">
        <f t="shared" si="48"/>
        <v>936.24404501155277</v>
      </c>
      <c r="J555" s="4">
        <v>2442</v>
      </c>
      <c r="K555" s="5">
        <f t="shared" si="49"/>
        <v>1318.3659388660433</v>
      </c>
      <c r="L555" s="5">
        <v>0</v>
      </c>
      <c r="M555" s="5">
        <v>0</v>
      </c>
      <c r="N555" s="4">
        <v>0</v>
      </c>
      <c r="O555" s="5">
        <f t="shared" si="50"/>
        <v>0</v>
      </c>
      <c r="P555" s="4">
        <v>0</v>
      </c>
      <c r="Q555" s="4">
        <v>0</v>
      </c>
      <c r="R555" s="4">
        <v>0</v>
      </c>
      <c r="S555" s="5">
        <f t="shared" si="51"/>
        <v>0</v>
      </c>
      <c r="T555" s="5">
        <f t="shared" si="52"/>
        <v>1.408143470594545</v>
      </c>
      <c r="U555" s="5">
        <f t="shared" si="53"/>
        <v>0</v>
      </c>
      <c r="V555" s="4">
        <v>-26</v>
      </c>
      <c r="W555" s="4">
        <v>30</v>
      </c>
      <c r="X555" s="4">
        <v>-26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/>
      <c r="AE555" s="54">
        <v>-2.5951862335205078E-3</v>
      </c>
      <c r="AF555" s="54">
        <v>-0.92219406366348267</v>
      </c>
    </row>
    <row r="556" spans="1:32" x14ac:dyDescent="0.2">
      <c r="A556" s="53" t="s">
        <v>2243</v>
      </c>
      <c r="B556" s="53" t="s">
        <v>2325</v>
      </c>
      <c r="C556" s="54" t="s">
        <v>3379</v>
      </c>
      <c r="D556" s="13" t="s">
        <v>1252</v>
      </c>
      <c r="E556" s="4" t="s">
        <v>1254</v>
      </c>
      <c r="F556" s="4" t="s">
        <v>1253</v>
      </c>
      <c r="G556" s="17" t="s">
        <v>90</v>
      </c>
      <c r="H556" s="4">
        <v>3887</v>
      </c>
      <c r="I556" s="5">
        <f t="shared" si="48"/>
        <v>3035.1798189824067</v>
      </c>
      <c r="J556" s="4">
        <v>1683</v>
      </c>
      <c r="K556" s="5">
        <f t="shared" si="49"/>
        <v>908.60355246173253</v>
      </c>
      <c r="L556" s="5">
        <v>0</v>
      </c>
      <c r="M556" s="5">
        <v>0</v>
      </c>
      <c r="N556" s="4">
        <v>0</v>
      </c>
      <c r="O556" s="5">
        <f t="shared" si="50"/>
        <v>0</v>
      </c>
      <c r="P556" s="4">
        <v>0</v>
      </c>
      <c r="Q556" s="4">
        <v>0</v>
      </c>
      <c r="R556" s="4">
        <v>0</v>
      </c>
      <c r="S556" s="5">
        <f t="shared" si="51"/>
        <v>0</v>
      </c>
      <c r="T556" s="5">
        <f t="shared" si="52"/>
        <v>0.29935740438810526</v>
      </c>
      <c r="U556" s="5">
        <f t="shared" si="53"/>
        <v>0</v>
      </c>
      <c r="V556" s="4">
        <v>25</v>
      </c>
      <c r="W556" s="4">
        <v>-42</v>
      </c>
      <c r="X556" s="4">
        <v>-7</v>
      </c>
      <c r="Y556" s="4">
        <v>1</v>
      </c>
      <c r="Z556" s="4">
        <v>0</v>
      </c>
      <c r="AA556" s="4">
        <v>0</v>
      </c>
      <c r="AB556" s="4">
        <v>0</v>
      </c>
      <c r="AC556" s="4">
        <v>0</v>
      </c>
      <c r="AD556" s="4"/>
      <c r="AE556" s="54">
        <v>-3.948211669921875E-4</v>
      </c>
      <c r="AF556" s="54">
        <v>-0.42181968688964838</v>
      </c>
    </row>
    <row r="557" spans="1:32" x14ac:dyDescent="0.2">
      <c r="A557" s="53" t="s">
        <v>2243</v>
      </c>
      <c r="B557" s="53" t="s">
        <v>2324</v>
      </c>
      <c r="C557" s="54" t="s">
        <v>3380</v>
      </c>
      <c r="D557" s="13" t="s">
        <v>1932</v>
      </c>
      <c r="E557" s="4" t="s">
        <v>1934</v>
      </c>
      <c r="F557" s="4" t="s">
        <v>1933</v>
      </c>
      <c r="G557" s="17" t="s">
        <v>90</v>
      </c>
      <c r="H557" s="4">
        <v>4495</v>
      </c>
      <c r="I557" s="5">
        <f t="shared" si="48"/>
        <v>3509.9391011900998</v>
      </c>
      <c r="J557" s="4">
        <v>1680</v>
      </c>
      <c r="K557" s="5">
        <f t="shared" si="49"/>
        <v>906.98393828622147</v>
      </c>
      <c r="L557" s="5">
        <v>0</v>
      </c>
      <c r="M557" s="5">
        <v>0</v>
      </c>
      <c r="N557" s="4">
        <v>0</v>
      </c>
      <c r="O557" s="5">
        <f t="shared" si="50"/>
        <v>0</v>
      </c>
      <c r="P557" s="4">
        <v>0</v>
      </c>
      <c r="Q557" s="4">
        <v>0</v>
      </c>
      <c r="R557" s="4">
        <v>0</v>
      </c>
      <c r="S557" s="5">
        <f t="shared" si="51"/>
        <v>0</v>
      </c>
      <c r="T557" s="5">
        <f t="shared" si="52"/>
        <v>0.25840446575802251</v>
      </c>
      <c r="U557" s="5">
        <f t="shared" si="53"/>
        <v>0</v>
      </c>
      <c r="V557" s="4">
        <v>1</v>
      </c>
      <c r="W557" s="4">
        <v>-34</v>
      </c>
      <c r="X557" s="4">
        <v>1</v>
      </c>
      <c r="Y557" s="4">
        <v>-4</v>
      </c>
      <c r="Z557" s="4">
        <v>0</v>
      </c>
      <c r="AA557" s="4">
        <v>0</v>
      </c>
      <c r="AB557" s="4">
        <v>0</v>
      </c>
      <c r="AC557" s="4">
        <v>0</v>
      </c>
      <c r="AD557" s="4"/>
      <c r="AE557" s="54">
        <v>-1.2948513031005859E-3</v>
      </c>
      <c r="AF557" s="54">
        <v>-0.75825417041778564</v>
      </c>
    </row>
    <row r="558" spans="1:32" x14ac:dyDescent="0.2">
      <c r="A558" s="53" t="s">
        <v>2243</v>
      </c>
      <c r="B558" s="53" t="s">
        <v>2323</v>
      </c>
      <c r="C558" s="54" t="s">
        <v>3381</v>
      </c>
      <c r="D558" s="13" t="s">
        <v>1610</v>
      </c>
      <c r="E558" s="4" t="s">
        <v>1612</v>
      </c>
      <c r="F558" s="4" t="s">
        <v>1611</v>
      </c>
      <c r="G558" s="17" t="s">
        <v>90</v>
      </c>
      <c r="H558" s="4">
        <v>1489</v>
      </c>
      <c r="I558" s="5">
        <f t="shared" si="48"/>
        <v>1162.6917289593011</v>
      </c>
      <c r="J558" s="4">
        <v>3349</v>
      </c>
      <c r="K558" s="5">
        <f t="shared" si="49"/>
        <v>1808.0292912622356</v>
      </c>
      <c r="L558" s="5">
        <v>0</v>
      </c>
      <c r="M558" s="5">
        <v>0</v>
      </c>
      <c r="N558" s="4">
        <v>0</v>
      </c>
      <c r="O558" s="5">
        <f t="shared" si="50"/>
        <v>0</v>
      </c>
      <c r="P558" s="4">
        <v>0</v>
      </c>
      <c r="Q558" s="4">
        <v>0</v>
      </c>
      <c r="R558" s="4">
        <v>0</v>
      </c>
      <c r="S558" s="5">
        <f t="shared" si="51"/>
        <v>0</v>
      </c>
      <c r="T558" s="5">
        <f t="shared" si="52"/>
        <v>1.5550375445437814</v>
      </c>
      <c r="U558" s="5">
        <f t="shared" si="53"/>
        <v>0</v>
      </c>
      <c r="V558" s="4">
        <v>-44</v>
      </c>
      <c r="W558" s="4">
        <v>-6</v>
      </c>
      <c r="X558" s="4">
        <v>41</v>
      </c>
      <c r="Y558" s="4">
        <v>-6</v>
      </c>
      <c r="Z558" s="4">
        <v>0</v>
      </c>
      <c r="AA558" s="4">
        <v>0</v>
      </c>
      <c r="AB558" s="4">
        <v>0</v>
      </c>
      <c r="AC558" s="4">
        <v>0</v>
      </c>
      <c r="AD558" s="4"/>
      <c r="AE558" s="54">
        <v>-4.835128784179688E-4</v>
      </c>
      <c r="AF558" s="54">
        <v>-0.47702011466026312</v>
      </c>
    </row>
    <row r="559" spans="1:32" x14ac:dyDescent="0.2">
      <c r="A559" s="53" t="s">
        <v>2243</v>
      </c>
      <c r="B559" s="53" t="s">
        <v>2327</v>
      </c>
      <c r="C559" s="54" t="s">
        <v>3382</v>
      </c>
      <c r="D559" s="13" t="s">
        <v>903</v>
      </c>
      <c r="E559" s="4" t="s">
        <v>905</v>
      </c>
      <c r="F559" s="4" t="s">
        <v>904</v>
      </c>
      <c r="G559" s="17" t="s">
        <v>90</v>
      </c>
      <c r="H559" s="4">
        <v>3658</v>
      </c>
      <c r="I559" s="5">
        <f t="shared" si="48"/>
        <v>2856.3642340719434</v>
      </c>
      <c r="J559" s="4">
        <v>3004</v>
      </c>
      <c r="K559" s="5">
        <f t="shared" si="49"/>
        <v>1621.7736610784577</v>
      </c>
      <c r="L559" s="5">
        <v>0</v>
      </c>
      <c r="M559" s="5">
        <v>0</v>
      </c>
      <c r="N559" s="4">
        <v>1</v>
      </c>
      <c r="O559" s="5">
        <f t="shared" si="50"/>
        <v>0.33333333333333331</v>
      </c>
      <c r="P559" s="4">
        <v>0</v>
      </c>
      <c r="Q559" s="4">
        <v>0</v>
      </c>
      <c r="R559" s="4">
        <v>0</v>
      </c>
      <c r="S559" s="5">
        <f t="shared" si="51"/>
        <v>0</v>
      </c>
      <c r="T559" s="5">
        <f t="shared" si="52"/>
        <v>0.56777551046650232</v>
      </c>
      <c r="U559" s="5">
        <f t="shared" si="53"/>
        <v>0</v>
      </c>
      <c r="V559" s="4">
        <v>26</v>
      </c>
      <c r="W559" s="4">
        <v>-8</v>
      </c>
      <c r="X559" s="4">
        <v>-12</v>
      </c>
      <c r="Y559" s="4">
        <v>-8</v>
      </c>
      <c r="Z559" s="4">
        <v>0</v>
      </c>
      <c r="AA559" s="4">
        <v>0</v>
      </c>
      <c r="AB559" s="4">
        <v>0</v>
      </c>
      <c r="AC559" s="4">
        <v>0</v>
      </c>
      <c r="AD559" s="4"/>
      <c r="AE559" s="54">
        <v>-1.7745494842529299E-3</v>
      </c>
      <c r="AF559" s="54">
        <v>-0.84048247337341309</v>
      </c>
    </row>
    <row r="560" spans="1:32" x14ac:dyDescent="0.2">
      <c r="A560" s="53" t="s">
        <v>2243</v>
      </c>
      <c r="B560" s="53" t="s">
        <v>2300</v>
      </c>
      <c r="C560" s="54" t="s">
        <v>3384</v>
      </c>
      <c r="D560" s="13" t="s">
        <v>521</v>
      </c>
      <c r="E560" s="4" t="s">
        <v>523</v>
      </c>
      <c r="F560" s="4" t="s">
        <v>522</v>
      </c>
      <c r="G560" s="4" t="s">
        <v>81</v>
      </c>
      <c r="H560" s="4">
        <v>1323</v>
      </c>
      <c r="I560" s="5">
        <f t="shared" si="48"/>
        <v>1033.0699512512795</v>
      </c>
      <c r="J560" s="4">
        <v>2895</v>
      </c>
      <c r="K560" s="5">
        <f t="shared" si="49"/>
        <v>1562.9276793682209</v>
      </c>
      <c r="L560" s="5">
        <v>0</v>
      </c>
      <c r="M560" s="5">
        <v>0</v>
      </c>
      <c r="N560" s="4">
        <v>0</v>
      </c>
      <c r="O560" s="5">
        <f t="shared" si="50"/>
        <v>0</v>
      </c>
      <c r="P560" s="4">
        <v>0</v>
      </c>
      <c r="Q560" s="4">
        <v>0</v>
      </c>
      <c r="R560" s="4">
        <v>0</v>
      </c>
      <c r="S560" s="5">
        <f t="shared" si="51"/>
        <v>0</v>
      </c>
      <c r="T560" s="5">
        <f t="shared" si="52"/>
        <v>1.5128962733599645</v>
      </c>
      <c r="U560" s="5">
        <f t="shared" si="53"/>
        <v>0</v>
      </c>
      <c r="V560" s="4">
        <v>2</v>
      </c>
      <c r="W560" s="4">
        <v>21</v>
      </c>
      <c r="X560" s="4">
        <v>31</v>
      </c>
      <c r="Y560" s="4">
        <v>2</v>
      </c>
      <c r="Z560" s="4">
        <v>0</v>
      </c>
      <c r="AA560" s="4">
        <v>0</v>
      </c>
      <c r="AB560" s="4">
        <v>0</v>
      </c>
      <c r="AC560" s="4">
        <v>0</v>
      </c>
      <c r="AD560" s="4"/>
      <c r="AE560" s="54">
        <v>-4.2891502380371088E-4</v>
      </c>
      <c r="AF560" s="54">
        <v>-0.44060030579566961</v>
      </c>
    </row>
    <row r="561" spans="1:32" x14ac:dyDescent="0.2">
      <c r="A561" s="53" t="s">
        <v>2243</v>
      </c>
      <c r="B561" s="53" t="s">
        <v>2302</v>
      </c>
      <c r="C561" s="54" t="s">
        <v>3386</v>
      </c>
      <c r="D561" s="13" t="s">
        <v>1743</v>
      </c>
      <c r="E561" s="4" t="s">
        <v>1745</v>
      </c>
      <c r="F561" s="4" t="s">
        <v>1744</v>
      </c>
      <c r="G561" s="4" t="s">
        <v>81</v>
      </c>
      <c r="H561" s="4">
        <v>1346</v>
      </c>
      <c r="I561" s="5">
        <f t="shared" si="48"/>
        <v>1051.0295951505836</v>
      </c>
      <c r="J561" s="4">
        <v>4601</v>
      </c>
      <c r="K561" s="5">
        <f t="shared" si="49"/>
        <v>2483.9482738422053</v>
      </c>
      <c r="L561" s="5">
        <v>0</v>
      </c>
      <c r="M561" s="5">
        <v>0</v>
      </c>
      <c r="N561" s="4">
        <v>0</v>
      </c>
      <c r="O561" s="5">
        <f t="shared" si="50"/>
        <v>0</v>
      </c>
      <c r="P561" s="4">
        <v>0</v>
      </c>
      <c r="Q561" s="4">
        <v>0</v>
      </c>
      <c r="R561" s="4">
        <v>0</v>
      </c>
      <c r="S561" s="5">
        <f t="shared" si="51"/>
        <v>0</v>
      </c>
      <c r="T561" s="5">
        <f t="shared" si="52"/>
        <v>2.363347602487182</v>
      </c>
      <c r="U561" s="5">
        <f t="shared" si="53"/>
        <v>0</v>
      </c>
      <c r="V561" s="4">
        <v>11</v>
      </c>
      <c r="W561" s="4">
        <v>-13</v>
      </c>
      <c r="X561" s="4">
        <v>27</v>
      </c>
      <c r="Y561" s="4">
        <v>12</v>
      </c>
      <c r="Z561" s="4">
        <v>0</v>
      </c>
      <c r="AA561" s="4">
        <v>0</v>
      </c>
      <c r="AB561" s="4">
        <v>0</v>
      </c>
      <c r="AC561" s="4">
        <v>0</v>
      </c>
      <c r="AD561" s="4"/>
      <c r="AE561" s="54">
        <v>2.0961761474609379E-3</v>
      </c>
      <c r="AF561" s="54">
        <v>0.88191461563110352</v>
      </c>
    </row>
    <row r="562" spans="1:32" x14ac:dyDescent="0.2">
      <c r="A562" s="53" t="s">
        <v>2243</v>
      </c>
      <c r="B562" s="53" t="s">
        <v>2305</v>
      </c>
      <c r="C562" s="54" t="s">
        <v>3389</v>
      </c>
      <c r="D562" s="13" t="s">
        <v>1449</v>
      </c>
      <c r="E562" s="4" t="s">
        <v>1451</v>
      </c>
      <c r="F562" s="4" t="s">
        <v>1450</v>
      </c>
      <c r="G562" s="4" t="s">
        <v>81</v>
      </c>
      <c r="H562" s="4">
        <v>3921</v>
      </c>
      <c r="I562" s="5">
        <f t="shared" si="48"/>
        <v>3061.7288577900736</v>
      </c>
      <c r="J562" s="4">
        <v>1202</v>
      </c>
      <c r="K562" s="5">
        <f t="shared" si="49"/>
        <v>648.92541298811796</v>
      </c>
      <c r="L562" s="5">
        <v>0</v>
      </c>
      <c r="M562" s="5">
        <v>0</v>
      </c>
      <c r="N562" s="4">
        <v>0</v>
      </c>
      <c r="O562" s="5">
        <f t="shared" si="50"/>
        <v>0</v>
      </c>
      <c r="P562" s="4">
        <v>0</v>
      </c>
      <c r="Q562" s="4">
        <v>0</v>
      </c>
      <c r="R562" s="4">
        <v>0</v>
      </c>
      <c r="S562" s="5">
        <f t="shared" si="51"/>
        <v>0</v>
      </c>
      <c r="T562" s="5">
        <f t="shared" si="52"/>
        <v>0.21194738108080088</v>
      </c>
      <c r="U562" s="5">
        <f t="shared" si="53"/>
        <v>0</v>
      </c>
      <c r="V562" s="4">
        <v>2</v>
      </c>
      <c r="W562" s="4">
        <v>9</v>
      </c>
      <c r="X562" s="4">
        <v>-27</v>
      </c>
      <c r="Y562" s="4">
        <v>-10</v>
      </c>
      <c r="Z562" s="4">
        <v>0</v>
      </c>
      <c r="AA562" s="4">
        <v>0</v>
      </c>
      <c r="AB562" s="4">
        <v>0</v>
      </c>
      <c r="AC562" s="4">
        <v>0</v>
      </c>
      <c r="AD562" s="4"/>
      <c r="AE562" s="54">
        <v>3.8974285125732422E-3</v>
      </c>
      <c r="AF562" s="54">
        <v>0.97299772500991821</v>
      </c>
    </row>
    <row r="563" spans="1:32" x14ac:dyDescent="0.2">
      <c r="A563" s="53" t="s">
        <v>2243</v>
      </c>
      <c r="B563" s="53" t="s">
        <v>2306</v>
      </c>
      <c r="C563" s="54" t="s">
        <v>3390</v>
      </c>
      <c r="D563" s="13" t="s">
        <v>879</v>
      </c>
      <c r="E563" s="4" t="s">
        <v>881</v>
      </c>
      <c r="F563" s="4" t="s">
        <v>880</v>
      </c>
      <c r="G563" s="4" t="s">
        <v>81</v>
      </c>
      <c r="H563" s="4">
        <v>1038</v>
      </c>
      <c r="I563" s="5">
        <f t="shared" si="48"/>
        <v>810.52653771642349</v>
      </c>
      <c r="J563" s="4">
        <v>3853</v>
      </c>
      <c r="K563" s="5">
        <f t="shared" si="49"/>
        <v>2080.1244727481021</v>
      </c>
      <c r="L563" s="5">
        <v>0</v>
      </c>
      <c r="M563" s="5">
        <v>0</v>
      </c>
      <c r="N563" s="4">
        <v>0</v>
      </c>
      <c r="O563" s="5">
        <f t="shared" si="50"/>
        <v>0</v>
      </c>
      <c r="P563" s="4">
        <v>0</v>
      </c>
      <c r="Q563" s="4">
        <v>0</v>
      </c>
      <c r="R563" s="4">
        <v>0</v>
      </c>
      <c r="S563" s="5">
        <f t="shared" si="51"/>
        <v>0</v>
      </c>
      <c r="T563" s="5">
        <f t="shared" si="52"/>
        <v>2.5663866338153989</v>
      </c>
      <c r="U563" s="5">
        <f t="shared" si="53"/>
        <v>0</v>
      </c>
      <c r="V563" s="4">
        <v>2</v>
      </c>
      <c r="W563" s="4">
        <v>8</v>
      </c>
      <c r="X563" s="4">
        <v>-28</v>
      </c>
      <c r="Y563" s="4">
        <v>-11</v>
      </c>
      <c r="Z563" s="4">
        <v>0</v>
      </c>
      <c r="AA563" s="4">
        <v>0</v>
      </c>
      <c r="AB563" s="4">
        <v>0</v>
      </c>
      <c r="AC563" s="4">
        <v>0</v>
      </c>
      <c r="AD563" s="4"/>
      <c r="AE563" s="54">
        <v>-4.5006275177001953E-2</v>
      </c>
      <c r="AF563" s="54">
        <v>-0.99979442358016968</v>
      </c>
    </row>
    <row r="564" spans="1:32" x14ac:dyDescent="0.2">
      <c r="A564" s="53" t="s">
        <v>2243</v>
      </c>
      <c r="B564" s="53" t="s">
        <v>2307</v>
      </c>
      <c r="C564" s="54" t="s">
        <v>3391</v>
      </c>
      <c r="D564" s="13" t="s">
        <v>882</v>
      </c>
      <c r="E564" s="4" t="s">
        <v>884</v>
      </c>
      <c r="F564" s="4" t="s">
        <v>883</v>
      </c>
      <c r="G564" s="4" t="s">
        <v>81</v>
      </c>
      <c r="H564" s="4">
        <v>3552</v>
      </c>
      <c r="I564" s="5">
        <f t="shared" si="48"/>
        <v>2773.5937013186281</v>
      </c>
      <c r="J564" s="4">
        <v>1855</v>
      </c>
      <c r="K564" s="5">
        <f t="shared" si="49"/>
        <v>1001.4614318577029</v>
      </c>
      <c r="L564" s="5">
        <v>0</v>
      </c>
      <c r="M564" s="5">
        <v>0</v>
      </c>
      <c r="N564" s="4">
        <v>0</v>
      </c>
      <c r="O564" s="5">
        <f t="shared" si="50"/>
        <v>0</v>
      </c>
      <c r="P564" s="4">
        <v>0</v>
      </c>
      <c r="Q564" s="4">
        <v>0</v>
      </c>
      <c r="R564" s="4">
        <v>0</v>
      </c>
      <c r="S564" s="5">
        <f t="shared" si="51"/>
        <v>0</v>
      </c>
      <c r="T564" s="5">
        <f t="shared" si="52"/>
        <v>0.36106998345921609</v>
      </c>
      <c r="U564" s="5">
        <f t="shared" si="53"/>
        <v>0</v>
      </c>
      <c r="V564" s="4">
        <v>-47</v>
      </c>
      <c r="W564" s="4">
        <v>-42</v>
      </c>
      <c r="X564" s="4">
        <v>2</v>
      </c>
      <c r="Y564" s="4">
        <v>-2</v>
      </c>
      <c r="Z564" s="4">
        <v>0</v>
      </c>
      <c r="AA564" s="4">
        <v>0</v>
      </c>
      <c r="AB564" s="4">
        <v>0</v>
      </c>
      <c r="AC564" s="4">
        <v>0</v>
      </c>
      <c r="AD564" s="4"/>
      <c r="AE564" s="54">
        <v>-1.526832580566406E-3</v>
      </c>
      <c r="AF564" s="54">
        <v>-0.80316084623336792</v>
      </c>
    </row>
    <row r="565" spans="1:32" x14ac:dyDescent="0.2">
      <c r="A565" s="53" t="s">
        <v>2243</v>
      </c>
      <c r="B565" s="53" t="s">
        <v>2309</v>
      </c>
      <c r="C565" s="54" t="s">
        <v>3393</v>
      </c>
      <c r="D565" s="13" t="s">
        <v>1746</v>
      </c>
      <c r="E565" s="4" t="s">
        <v>1748</v>
      </c>
      <c r="F565" s="4" t="s">
        <v>1747</v>
      </c>
      <c r="G565" s="4" t="s">
        <v>81</v>
      </c>
      <c r="H565" s="4">
        <v>4894</v>
      </c>
      <c r="I565" s="5">
        <f t="shared" si="48"/>
        <v>3821.4998801388983</v>
      </c>
      <c r="J565" s="4">
        <v>1074</v>
      </c>
      <c r="K565" s="5">
        <f t="shared" si="49"/>
        <v>579.8218748329773</v>
      </c>
      <c r="L565" s="5">
        <v>0</v>
      </c>
      <c r="M565" s="5">
        <v>0</v>
      </c>
      <c r="N565" s="4">
        <v>0</v>
      </c>
      <c r="O565" s="5">
        <f t="shared" si="50"/>
        <v>0</v>
      </c>
      <c r="P565" s="4">
        <v>0</v>
      </c>
      <c r="Q565" s="4">
        <v>0</v>
      </c>
      <c r="R565" s="4">
        <v>0</v>
      </c>
      <c r="S565" s="5">
        <f t="shared" si="51"/>
        <v>0</v>
      </c>
      <c r="T565" s="5">
        <f t="shared" si="52"/>
        <v>0.15172625749550012</v>
      </c>
      <c r="U565" s="5">
        <f t="shared" si="53"/>
        <v>0</v>
      </c>
      <c r="V565" s="4">
        <v>1</v>
      </c>
      <c r="W565" s="4">
        <v>-39</v>
      </c>
      <c r="X565" s="4">
        <v>-3</v>
      </c>
      <c r="Y565" s="4">
        <v>1</v>
      </c>
      <c r="Z565" s="4">
        <v>0</v>
      </c>
      <c r="AA565" s="4">
        <v>0</v>
      </c>
      <c r="AB565" s="4">
        <v>0</v>
      </c>
      <c r="AC565" s="4">
        <v>0</v>
      </c>
      <c r="AD565" s="4"/>
      <c r="AE565" s="54">
        <v>-1.9207000732421879E-3</v>
      </c>
      <c r="AF565" s="54">
        <v>-0.8596574068069458</v>
      </c>
    </row>
    <row r="566" spans="1:32" x14ac:dyDescent="0.2">
      <c r="A566" s="53" t="s">
        <v>2243</v>
      </c>
      <c r="B566" s="53" t="s">
        <v>2310</v>
      </c>
      <c r="C566" s="54" t="s">
        <v>3394</v>
      </c>
      <c r="D566" s="13" t="s">
        <v>1452</v>
      </c>
      <c r="E566" s="4" t="s">
        <v>1454</v>
      </c>
      <c r="F566" s="4" t="s">
        <v>1453</v>
      </c>
      <c r="G566" s="4" t="s">
        <v>81</v>
      </c>
      <c r="H566" s="4">
        <v>6009</v>
      </c>
      <c r="I566" s="5">
        <f t="shared" si="48"/>
        <v>4692.152182213862</v>
      </c>
      <c r="J566" s="4">
        <v>1494</v>
      </c>
      <c r="K566" s="5">
        <f t="shared" si="49"/>
        <v>806.56785940453267</v>
      </c>
      <c r="L566" s="5">
        <v>0</v>
      </c>
      <c r="M566" s="5">
        <v>0</v>
      </c>
      <c r="N566" s="4">
        <v>0</v>
      </c>
      <c r="O566" s="5">
        <f t="shared" si="50"/>
        <v>0</v>
      </c>
      <c r="P566" s="4">
        <v>0</v>
      </c>
      <c r="Q566" s="4">
        <v>0</v>
      </c>
      <c r="R566" s="4">
        <v>0</v>
      </c>
      <c r="S566" s="5">
        <f t="shared" si="51"/>
        <v>0</v>
      </c>
      <c r="T566" s="5">
        <f t="shared" si="52"/>
        <v>0.17189720795116581</v>
      </c>
      <c r="U566" s="5">
        <f t="shared" si="53"/>
        <v>0</v>
      </c>
      <c r="V566" s="4">
        <v>-8</v>
      </c>
      <c r="W566" s="4">
        <v>4</v>
      </c>
      <c r="X566" s="4">
        <v>0</v>
      </c>
      <c r="Y566" s="4">
        <v>4</v>
      </c>
      <c r="Z566" s="4">
        <v>0</v>
      </c>
      <c r="AA566" s="4">
        <v>0</v>
      </c>
      <c r="AB566" s="4">
        <v>0</v>
      </c>
      <c r="AC566" s="4">
        <v>0</v>
      </c>
      <c r="AD566" s="4"/>
      <c r="AE566" s="54">
        <v>2.231597900390625E-4</v>
      </c>
      <c r="AF566" s="54">
        <v>0.32259750366210938</v>
      </c>
    </row>
    <row r="567" spans="1:32" x14ac:dyDescent="0.2">
      <c r="A567" s="53" t="s">
        <v>2243</v>
      </c>
      <c r="B567" s="53" t="s">
        <v>2311</v>
      </c>
      <c r="C567" s="54" t="s">
        <v>3395</v>
      </c>
      <c r="D567" s="13" t="s">
        <v>1749</v>
      </c>
      <c r="E567" s="4" t="s">
        <v>1751</v>
      </c>
      <c r="F567" s="4" t="s">
        <v>1750</v>
      </c>
      <c r="G567" s="4" t="s">
        <v>81</v>
      </c>
      <c r="H567" s="4">
        <v>1855</v>
      </c>
      <c r="I567" s="5">
        <f t="shared" si="48"/>
        <v>1448.4843231830112</v>
      </c>
      <c r="J567" s="4">
        <v>1201</v>
      </c>
      <c r="K567" s="5">
        <f t="shared" si="49"/>
        <v>648.38554159628097</v>
      </c>
      <c r="L567" s="5">
        <v>0</v>
      </c>
      <c r="M567" s="5">
        <v>0</v>
      </c>
      <c r="N567" s="4">
        <v>0</v>
      </c>
      <c r="O567" s="5">
        <f t="shared" si="50"/>
        <v>0</v>
      </c>
      <c r="P567" s="4">
        <v>0</v>
      </c>
      <c r="Q567" s="4">
        <v>0</v>
      </c>
      <c r="R567" s="4">
        <v>0</v>
      </c>
      <c r="S567" s="5">
        <f t="shared" si="51"/>
        <v>0</v>
      </c>
      <c r="T567" s="5">
        <f t="shared" si="52"/>
        <v>0.44763034795673079</v>
      </c>
      <c r="U567" s="5">
        <f t="shared" si="53"/>
        <v>0</v>
      </c>
      <c r="V567" s="4">
        <v>-14</v>
      </c>
      <c r="W567" s="4">
        <v>-4</v>
      </c>
      <c r="X567" s="4">
        <v>-44</v>
      </c>
      <c r="Y567" s="4">
        <v>8</v>
      </c>
      <c r="Z567" s="4">
        <v>0</v>
      </c>
      <c r="AA567" s="4">
        <v>0</v>
      </c>
      <c r="AB567" s="4">
        <v>0</v>
      </c>
      <c r="AC567" s="4">
        <v>0</v>
      </c>
      <c r="AD567" s="4"/>
      <c r="AE567" s="54">
        <v>2.2449493408203121E-3</v>
      </c>
      <c r="AF567" s="54">
        <v>0.89638954401016235</v>
      </c>
    </row>
    <row r="568" spans="1:32" x14ac:dyDescent="0.2">
      <c r="A568" s="53" t="s">
        <v>2243</v>
      </c>
      <c r="B568" s="53" t="s">
        <v>2242</v>
      </c>
      <c r="C568" s="54" t="s">
        <v>3396</v>
      </c>
      <c r="D568" s="30" t="s">
        <v>819</v>
      </c>
      <c r="E568" s="31" t="s">
        <v>821</v>
      </c>
      <c r="F568" s="4" t="s">
        <v>820</v>
      </c>
      <c r="G568" s="4" t="s">
        <v>125</v>
      </c>
      <c r="H568" s="4">
        <v>1383</v>
      </c>
      <c r="I568" s="5">
        <f t="shared" si="48"/>
        <v>1079.921196205986</v>
      </c>
      <c r="J568" s="4">
        <v>4351</v>
      </c>
      <c r="K568" s="5">
        <f t="shared" si="49"/>
        <v>2348.9804258829463</v>
      </c>
      <c r="L568" s="5">
        <v>0</v>
      </c>
      <c r="M568" s="5">
        <v>0</v>
      </c>
      <c r="N568" s="4">
        <v>0</v>
      </c>
      <c r="O568" s="5">
        <f t="shared" si="50"/>
        <v>0</v>
      </c>
      <c r="P568" s="4">
        <v>0</v>
      </c>
      <c r="Q568" s="4">
        <v>0</v>
      </c>
      <c r="R568" s="4">
        <v>0</v>
      </c>
      <c r="S568" s="5">
        <f t="shared" si="51"/>
        <v>0</v>
      </c>
      <c r="T568" s="5">
        <f t="shared" si="52"/>
        <v>2.1751405881609327</v>
      </c>
      <c r="U568" s="5">
        <f t="shared" si="53"/>
        <v>0</v>
      </c>
      <c r="V568" s="4">
        <v>13</v>
      </c>
      <c r="W568" s="4">
        <v>36</v>
      </c>
      <c r="X568" s="4">
        <v>-50</v>
      </c>
      <c r="Y568" s="4">
        <v>37</v>
      </c>
      <c r="Z568" s="4">
        <v>0</v>
      </c>
      <c r="AA568" s="4">
        <v>0</v>
      </c>
      <c r="AB568" s="4">
        <v>0</v>
      </c>
      <c r="AC568" s="4">
        <v>0</v>
      </c>
      <c r="AD568" s="4"/>
      <c r="AE568" s="54">
        <v>2.4046897888183589E-3</v>
      </c>
      <c r="AF568" s="54">
        <v>0.91115522384643555</v>
      </c>
    </row>
    <row r="569" spans="1:32" x14ac:dyDescent="0.2">
      <c r="A569" s="53" t="s">
        <v>2243</v>
      </c>
      <c r="B569" s="53" t="s">
        <v>2312</v>
      </c>
      <c r="C569" s="54" t="s">
        <v>3397</v>
      </c>
      <c r="D569" s="13" t="s">
        <v>1455</v>
      </c>
      <c r="E569" s="4" t="s">
        <v>1457</v>
      </c>
      <c r="F569" s="4" t="s">
        <v>1456</v>
      </c>
      <c r="G569" s="4" t="s">
        <v>81</v>
      </c>
      <c r="H569" s="4">
        <v>6828</v>
      </c>
      <c r="I569" s="5">
        <f t="shared" si="48"/>
        <v>5331.6716758456068</v>
      </c>
      <c r="J569" s="4">
        <v>2407</v>
      </c>
      <c r="K569" s="5">
        <f t="shared" si="49"/>
        <v>1299.4704401517472</v>
      </c>
      <c r="L569" s="5">
        <v>0</v>
      </c>
      <c r="M569" s="5">
        <v>0</v>
      </c>
      <c r="N569" s="4">
        <v>0</v>
      </c>
      <c r="O569" s="5">
        <f t="shared" si="50"/>
        <v>0</v>
      </c>
      <c r="P569" s="4">
        <v>0</v>
      </c>
      <c r="Q569" s="4">
        <v>0</v>
      </c>
      <c r="R569" s="4">
        <v>0</v>
      </c>
      <c r="S569" s="5">
        <f t="shared" si="51"/>
        <v>0</v>
      </c>
      <c r="T569" s="5">
        <f t="shared" si="52"/>
        <v>0.24372664319125581</v>
      </c>
      <c r="U569" s="5">
        <f t="shared" si="53"/>
        <v>0</v>
      </c>
      <c r="V569" s="4">
        <v>-42</v>
      </c>
      <c r="W569" s="4">
        <v>-30</v>
      </c>
      <c r="X569" s="4">
        <v>-42</v>
      </c>
      <c r="Y569" s="4">
        <v>10</v>
      </c>
      <c r="Z569" s="4">
        <v>0</v>
      </c>
      <c r="AA569" s="4">
        <v>0</v>
      </c>
      <c r="AB569" s="4">
        <v>0</v>
      </c>
      <c r="AC569" s="4">
        <v>0</v>
      </c>
      <c r="AD569" s="4"/>
      <c r="AE569" s="54">
        <v>2.3345947265625E-3</v>
      </c>
      <c r="AF569" s="54">
        <v>0.9050900936126709</v>
      </c>
    </row>
    <row r="570" spans="1:32" x14ac:dyDescent="0.2">
      <c r="A570" s="53" t="s">
        <v>2243</v>
      </c>
      <c r="B570" s="53" t="s">
        <v>2313</v>
      </c>
      <c r="C570" s="54" t="s">
        <v>3398</v>
      </c>
      <c r="D570" s="13" t="s">
        <v>1458</v>
      </c>
      <c r="E570" s="4" t="s">
        <v>1460</v>
      </c>
      <c r="F570" s="4" t="s">
        <v>1459</v>
      </c>
      <c r="G570" s="4" t="s">
        <v>164</v>
      </c>
      <c r="H570" s="4">
        <v>3943</v>
      </c>
      <c r="I570" s="5">
        <f t="shared" si="48"/>
        <v>3078.9076476067994</v>
      </c>
      <c r="J570" s="4">
        <v>1055</v>
      </c>
      <c r="K570" s="5">
        <f t="shared" si="49"/>
        <v>569.5643183880735</v>
      </c>
      <c r="L570" s="5">
        <v>0</v>
      </c>
      <c r="M570" s="5">
        <v>0</v>
      </c>
      <c r="N570" s="4">
        <v>0</v>
      </c>
      <c r="O570" s="5">
        <f t="shared" si="50"/>
        <v>0</v>
      </c>
      <c r="P570" s="4">
        <v>0</v>
      </c>
      <c r="Q570" s="4">
        <v>0</v>
      </c>
      <c r="R570" s="4">
        <v>0</v>
      </c>
      <c r="S570" s="5">
        <f t="shared" si="51"/>
        <v>0</v>
      </c>
      <c r="T570" s="5">
        <f t="shared" si="52"/>
        <v>0.18498908820171645</v>
      </c>
      <c r="U570" s="5">
        <f t="shared" si="53"/>
        <v>0</v>
      </c>
      <c r="V570" s="4">
        <v>-24</v>
      </c>
      <c r="W570" s="4">
        <v>1</v>
      </c>
      <c r="X570" s="4">
        <v>16</v>
      </c>
      <c r="Y570" s="4">
        <v>-36</v>
      </c>
      <c r="Z570" s="4">
        <v>0</v>
      </c>
      <c r="AA570" s="4">
        <v>0</v>
      </c>
      <c r="AB570" s="4">
        <v>0</v>
      </c>
      <c r="AC570" s="4">
        <v>0</v>
      </c>
      <c r="AD570" s="4"/>
      <c r="AE570" s="54">
        <v>3.0128955841064449E-3</v>
      </c>
      <c r="AF570" s="54">
        <v>0.9455573558807373</v>
      </c>
    </row>
    <row r="571" spans="1:32" x14ac:dyDescent="0.2">
      <c r="A571" s="53" t="s">
        <v>2243</v>
      </c>
      <c r="B571" s="53" t="s">
        <v>2314</v>
      </c>
      <c r="C571" s="54" t="s">
        <v>3399</v>
      </c>
      <c r="D571" s="13" t="s">
        <v>888</v>
      </c>
      <c r="E571" s="4" t="s">
        <v>890</v>
      </c>
      <c r="F571" s="4" t="s">
        <v>889</v>
      </c>
      <c r="G571" s="4" t="s">
        <v>81</v>
      </c>
      <c r="H571" s="4">
        <v>9508</v>
      </c>
      <c r="I571" s="5">
        <f t="shared" si="48"/>
        <v>7424.3606171558331</v>
      </c>
      <c r="J571" s="4">
        <v>1577</v>
      </c>
      <c r="K571" s="5">
        <f t="shared" si="49"/>
        <v>851.37718492700674</v>
      </c>
      <c r="L571" s="5">
        <v>0</v>
      </c>
      <c r="M571" s="5">
        <v>0</v>
      </c>
      <c r="N571" s="4">
        <v>0</v>
      </c>
      <c r="O571" s="5">
        <f t="shared" si="50"/>
        <v>0</v>
      </c>
      <c r="P571" s="4">
        <v>0</v>
      </c>
      <c r="Q571" s="4">
        <v>0</v>
      </c>
      <c r="R571" s="4">
        <v>0</v>
      </c>
      <c r="S571" s="5">
        <f t="shared" si="51"/>
        <v>0</v>
      </c>
      <c r="T571" s="5">
        <f t="shared" si="52"/>
        <v>0.11467346871051601</v>
      </c>
      <c r="U571" s="5">
        <f t="shared" si="53"/>
        <v>0</v>
      </c>
      <c r="V571" s="4">
        <v>-23</v>
      </c>
      <c r="W571" s="4">
        <v>2</v>
      </c>
      <c r="X571" s="4">
        <v>17</v>
      </c>
      <c r="Y571" s="4">
        <v>-35</v>
      </c>
      <c r="Z571" s="4">
        <v>0</v>
      </c>
      <c r="AA571" s="4">
        <v>0</v>
      </c>
      <c r="AB571" s="4">
        <v>0</v>
      </c>
      <c r="AC571" s="4">
        <v>0</v>
      </c>
      <c r="AD571" s="4"/>
      <c r="AE571" s="54">
        <v>5.2587985992431641E-3</v>
      </c>
      <c r="AF571" s="54">
        <v>0.98942744731903076</v>
      </c>
    </row>
    <row r="572" spans="1:32" x14ac:dyDescent="0.2">
      <c r="A572" s="53" t="s">
        <v>2243</v>
      </c>
      <c r="B572" s="53" t="s">
        <v>2315</v>
      </c>
      <c r="C572" s="54" t="s">
        <v>3400</v>
      </c>
      <c r="D572" s="13" t="s">
        <v>891</v>
      </c>
      <c r="E572" s="4" t="s">
        <v>893</v>
      </c>
      <c r="F572" s="4" t="s">
        <v>892</v>
      </c>
      <c r="G572" s="4" t="s">
        <v>635</v>
      </c>
      <c r="H572" s="4">
        <v>731</v>
      </c>
      <c r="I572" s="5">
        <f t="shared" si="48"/>
        <v>570.80433436484157</v>
      </c>
      <c r="J572" s="4">
        <v>900</v>
      </c>
      <c r="K572" s="5">
        <f t="shared" si="49"/>
        <v>485.88425265333296</v>
      </c>
      <c r="L572" s="5">
        <v>0</v>
      </c>
      <c r="M572" s="5">
        <v>0</v>
      </c>
      <c r="N572" s="4">
        <v>0</v>
      </c>
      <c r="O572" s="5">
        <f t="shared" si="50"/>
        <v>0</v>
      </c>
      <c r="P572" s="4">
        <v>0</v>
      </c>
      <c r="Q572" s="4">
        <v>0</v>
      </c>
      <c r="R572" s="4">
        <v>0</v>
      </c>
      <c r="S572" s="5">
        <f t="shared" si="51"/>
        <v>0</v>
      </c>
      <c r="T572" s="5">
        <f t="shared" si="52"/>
        <v>0.85122733553520957</v>
      </c>
      <c r="U572" s="5">
        <f t="shared" si="53"/>
        <v>0</v>
      </c>
      <c r="V572" s="4">
        <v>4</v>
      </c>
      <c r="W572" s="4">
        <v>-22</v>
      </c>
      <c r="X572" s="4">
        <v>4</v>
      </c>
      <c r="Y572" s="4">
        <v>15</v>
      </c>
      <c r="Z572" s="4">
        <v>0</v>
      </c>
      <c r="AA572" s="4">
        <v>0</v>
      </c>
      <c r="AB572" s="4">
        <v>0</v>
      </c>
      <c r="AC572" s="4">
        <v>0</v>
      </c>
      <c r="AD572" s="4"/>
      <c r="AE572" s="54">
        <v>-8.1932783126831055E-2</v>
      </c>
      <c r="AF572" s="54">
        <v>-0.99992549419403076</v>
      </c>
    </row>
    <row r="573" spans="1:32" x14ac:dyDescent="0.2">
      <c r="A573" s="53" t="s">
        <v>2243</v>
      </c>
      <c r="B573" s="53" t="s">
        <v>2317</v>
      </c>
      <c r="C573" s="54" t="s">
        <v>3402</v>
      </c>
      <c r="D573" s="13" t="s">
        <v>1929</v>
      </c>
      <c r="E573" s="4" t="s">
        <v>1931</v>
      </c>
      <c r="F573" s="4" t="s">
        <v>1930</v>
      </c>
      <c r="G573" s="4" t="s">
        <v>81</v>
      </c>
      <c r="H573" s="4">
        <v>1988</v>
      </c>
      <c r="I573" s="5">
        <f t="shared" si="48"/>
        <v>1552.3379161659439</v>
      </c>
      <c r="J573" s="4">
        <v>3010</v>
      </c>
      <c r="K573" s="5">
        <f t="shared" si="49"/>
        <v>1625.0128894294801</v>
      </c>
      <c r="L573" s="5">
        <v>0</v>
      </c>
      <c r="M573" s="5">
        <v>0</v>
      </c>
      <c r="N573" s="4">
        <v>0</v>
      </c>
      <c r="O573" s="5">
        <f t="shared" si="50"/>
        <v>0</v>
      </c>
      <c r="P573" s="4">
        <v>0</v>
      </c>
      <c r="Q573" s="4">
        <v>0</v>
      </c>
      <c r="R573" s="4">
        <v>0</v>
      </c>
      <c r="S573" s="5">
        <f t="shared" si="51"/>
        <v>0</v>
      </c>
      <c r="T573" s="5">
        <f t="shared" si="52"/>
        <v>1.0468164647057214</v>
      </c>
      <c r="U573" s="5">
        <f t="shared" si="53"/>
        <v>0</v>
      </c>
      <c r="V573" s="4">
        <v>0</v>
      </c>
      <c r="W573" s="4">
        <v>-34</v>
      </c>
      <c r="X573" s="4">
        <v>0</v>
      </c>
      <c r="Y573" s="4">
        <v>17</v>
      </c>
      <c r="Z573" s="4">
        <v>0</v>
      </c>
      <c r="AA573" s="4">
        <v>0</v>
      </c>
      <c r="AB573" s="4">
        <v>0</v>
      </c>
      <c r="AC573" s="4">
        <v>0</v>
      </c>
      <c r="AD573" s="4"/>
      <c r="AE573" s="54">
        <v>3.5543441772460942E-3</v>
      </c>
      <c r="AF573" s="54">
        <v>0.96453708410263062</v>
      </c>
    </row>
    <row r="574" spans="1:32" x14ac:dyDescent="0.2">
      <c r="A574" s="53" t="s">
        <v>2243</v>
      </c>
      <c r="B574" s="53" t="s">
        <v>2318</v>
      </c>
      <c r="C574" s="54" t="s">
        <v>3403</v>
      </c>
      <c r="D574" s="13" t="s">
        <v>1461</v>
      </c>
      <c r="E574" s="4" t="s">
        <v>1463</v>
      </c>
      <c r="F574" s="4" t="s">
        <v>1462</v>
      </c>
      <c r="G574" s="4" t="s">
        <v>81</v>
      </c>
      <c r="H574" s="4">
        <v>1147</v>
      </c>
      <c r="I574" s="5">
        <f t="shared" si="48"/>
        <v>895.63963271747377</v>
      </c>
      <c r="J574" s="4">
        <v>1562</v>
      </c>
      <c r="K574" s="5">
        <f t="shared" si="49"/>
        <v>843.2791140494511</v>
      </c>
      <c r="L574" s="5">
        <v>0</v>
      </c>
      <c r="M574" s="5">
        <v>0</v>
      </c>
      <c r="N574" s="4">
        <v>0</v>
      </c>
      <c r="O574" s="5">
        <f t="shared" si="50"/>
        <v>0</v>
      </c>
      <c r="P574" s="4">
        <v>0</v>
      </c>
      <c r="Q574" s="4">
        <v>0</v>
      </c>
      <c r="R574" s="4">
        <v>0</v>
      </c>
      <c r="S574" s="5">
        <f t="shared" si="51"/>
        <v>0</v>
      </c>
      <c r="T574" s="5">
        <f t="shared" si="52"/>
        <v>0.94153840813279466</v>
      </c>
      <c r="U574" s="5">
        <f t="shared" si="53"/>
        <v>0</v>
      </c>
      <c r="V574" s="4">
        <v>-2</v>
      </c>
      <c r="W574" s="4">
        <v>-18</v>
      </c>
      <c r="X574" s="4">
        <v>-2</v>
      </c>
      <c r="Y574" s="4">
        <v>16</v>
      </c>
      <c r="Z574" s="4">
        <v>0</v>
      </c>
      <c r="AA574" s="4">
        <v>0</v>
      </c>
      <c r="AB574" s="4">
        <v>0</v>
      </c>
      <c r="AC574" s="4">
        <v>0</v>
      </c>
      <c r="AD574" s="4"/>
      <c r="AE574" s="54">
        <v>-1.378059387207031E-4</v>
      </c>
      <c r="AF574" s="54">
        <v>-0.2484796196222305</v>
      </c>
    </row>
    <row r="575" spans="1:32" x14ac:dyDescent="0.2">
      <c r="A575" s="53" t="s">
        <v>2243</v>
      </c>
      <c r="B575" s="53" t="s">
        <v>2319</v>
      </c>
      <c r="C575" s="54" t="s">
        <v>3404</v>
      </c>
      <c r="D575" s="13" t="s">
        <v>1464</v>
      </c>
      <c r="E575" s="4" t="s">
        <v>1466</v>
      </c>
      <c r="F575" s="4" t="s">
        <v>1465</v>
      </c>
      <c r="G575" s="4" t="s">
        <v>81</v>
      </c>
      <c r="H575" s="4">
        <v>1341</v>
      </c>
      <c r="I575" s="5">
        <f t="shared" si="48"/>
        <v>1047.1253247376917</v>
      </c>
      <c r="J575" s="4">
        <v>1488</v>
      </c>
      <c r="K575" s="5">
        <f t="shared" si="49"/>
        <v>803.32863105351043</v>
      </c>
      <c r="L575" s="5">
        <v>0</v>
      </c>
      <c r="M575" s="5">
        <v>0</v>
      </c>
      <c r="N575" s="4">
        <v>0</v>
      </c>
      <c r="O575" s="5">
        <f t="shared" si="50"/>
        <v>0</v>
      </c>
      <c r="P575" s="4">
        <v>0</v>
      </c>
      <c r="Q575" s="4">
        <v>0</v>
      </c>
      <c r="R575" s="4">
        <v>0</v>
      </c>
      <c r="S575" s="5">
        <f t="shared" si="51"/>
        <v>0</v>
      </c>
      <c r="T575" s="5">
        <f t="shared" si="52"/>
        <v>0.76717524834455408</v>
      </c>
      <c r="U575" s="5">
        <f t="shared" si="53"/>
        <v>0</v>
      </c>
      <c r="V575" s="4">
        <v>19</v>
      </c>
      <c r="W575" s="4">
        <v>8</v>
      </c>
      <c r="X575" s="4">
        <v>-5</v>
      </c>
      <c r="Y575" s="4">
        <v>8</v>
      </c>
      <c r="Z575" s="4">
        <v>0</v>
      </c>
      <c r="AA575" s="4">
        <v>0</v>
      </c>
      <c r="AB575" s="4">
        <v>0</v>
      </c>
      <c r="AC575" s="4">
        <v>0</v>
      </c>
      <c r="AD575" s="4"/>
      <c r="AE575" s="54">
        <v>-2.6271343231201172E-3</v>
      </c>
      <c r="AF575" s="54">
        <v>-0.92390108108520508</v>
      </c>
    </row>
    <row r="576" spans="1:32" x14ac:dyDescent="0.2">
      <c r="A576" s="53" t="s">
        <v>2243</v>
      </c>
      <c r="B576" s="53" t="s">
        <v>2320</v>
      </c>
      <c r="C576" s="54" t="s">
        <v>3405</v>
      </c>
      <c r="D576" s="13" t="s">
        <v>1467</v>
      </c>
      <c r="E576" s="4" t="s">
        <v>1469</v>
      </c>
      <c r="F576" s="4" t="s">
        <v>1468</v>
      </c>
      <c r="G576" s="4" t="s">
        <v>81</v>
      </c>
      <c r="H576" s="4">
        <v>7098</v>
      </c>
      <c r="I576" s="5">
        <f t="shared" si="48"/>
        <v>5542.5022781417856</v>
      </c>
      <c r="J576" s="4">
        <v>472</v>
      </c>
      <c r="K576" s="5">
        <f t="shared" si="49"/>
        <v>254.81929694708128</v>
      </c>
      <c r="L576" s="5">
        <v>0</v>
      </c>
      <c r="M576" s="5">
        <v>0</v>
      </c>
      <c r="N576" s="4">
        <v>0</v>
      </c>
      <c r="O576" s="5">
        <f t="shared" si="50"/>
        <v>0</v>
      </c>
      <c r="P576" s="4">
        <v>0</v>
      </c>
      <c r="Q576" s="4">
        <v>0</v>
      </c>
      <c r="R576" s="4">
        <v>0</v>
      </c>
      <c r="S576" s="5">
        <f t="shared" si="51"/>
        <v>0</v>
      </c>
      <c r="T576" s="5">
        <f t="shared" si="52"/>
        <v>4.5975497015494887E-2</v>
      </c>
      <c r="U576" s="5">
        <f t="shared" si="53"/>
        <v>0</v>
      </c>
      <c r="V576" s="4">
        <v>27</v>
      </c>
      <c r="W576" s="4">
        <v>2</v>
      </c>
      <c r="X576" s="4">
        <v>-15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/>
      <c r="AE576" s="54">
        <v>1.230955123901367E-3</v>
      </c>
      <c r="AF576" s="54">
        <v>0.74827462434768677</v>
      </c>
    </row>
    <row r="577" spans="1:32" x14ac:dyDescent="0.2">
      <c r="A577" s="53" t="s">
        <v>2243</v>
      </c>
      <c r="B577" s="53" t="s">
        <v>2321</v>
      </c>
      <c r="C577" s="54" t="s">
        <v>3406</v>
      </c>
      <c r="D577" s="13" t="s">
        <v>897</v>
      </c>
      <c r="E577" s="4" t="s">
        <v>899</v>
      </c>
      <c r="F577" s="4" t="s">
        <v>898</v>
      </c>
      <c r="G577" s="4" t="s">
        <v>81</v>
      </c>
      <c r="H577" s="4">
        <v>5182</v>
      </c>
      <c r="I577" s="5">
        <f t="shared" si="48"/>
        <v>4046.3858559214896</v>
      </c>
      <c r="J577" s="4">
        <v>3624</v>
      </c>
      <c r="K577" s="5">
        <f t="shared" si="49"/>
        <v>1956.4939240174203</v>
      </c>
      <c r="L577" s="5">
        <v>0</v>
      </c>
      <c r="M577" s="5">
        <v>0</v>
      </c>
      <c r="N577" s="4">
        <v>0</v>
      </c>
      <c r="O577" s="5">
        <f t="shared" si="50"/>
        <v>0</v>
      </c>
      <c r="P577" s="4">
        <v>0</v>
      </c>
      <c r="Q577" s="4">
        <v>0</v>
      </c>
      <c r="R577" s="4">
        <v>0</v>
      </c>
      <c r="S577" s="5">
        <f t="shared" si="51"/>
        <v>0</v>
      </c>
      <c r="T577" s="5">
        <f t="shared" si="52"/>
        <v>0.48351640048224342</v>
      </c>
      <c r="U577" s="5">
        <f t="shared" si="53"/>
        <v>0</v>
      </c>
      <c r="V577" s="4">
        <v>-5</v>
      </c>
      <c r="W577" s="4">
        <v>41</v>
      </c>
      <c r="X577" s="4">
        <v>49</v>
      </c>
      <c r="Y577" s="4">
        <v>-35</v>
      </c>
      <c r="Z577" s="4">
        <v>0</v>
      </c>
      <c r="AA577" s="4">
        <v>0</v>
      </c>
      <c r="AB577" s="4">
        <v>0</v>
      </c>
      <c r="AC577" s="4">
        <v>0</v>
      </c>
      <c r="AD577" s="4"/>
      <c r="AE577" s="54">
        <v>-4.6539306640625E-4</v>
      </c>
      <c r="AF577" s="54">
        <v>-0.4680601954460144</v>
      </c>
    </row>
    <row r="578" spans="1:32" x14ac:dyDescent="0.2">
      <c r="A578" s="53" t="s">
        <v>2243</v>
      </c>
      <c r="B578" s="53" t="s">
        <v>2322</v>
      </c>
      <c r="C578" s="54" t="s">
        <v>3407</v>
      </c>
      <c r="D578" s="13" t="s">
        <v>900</v>
      </c>
      <c r="E578" s="4" t="s">
        <v>902</v>
      </c>
      <c r="F578" s="4" t="s">
        <v>901</v>
      </c>
      <c r="G578" s="4" t="s">
        <v>81</v>
      </c>
      <c r="H578" s="4">
        <v>2416</v>
      </c>
      <c r="I578" s="5">
        <f t="shared" ref="I578:I641" si="54">H578/H$677*1000000</f>
        <v>1886.5434635095176</v>
      </c>
      <c r="J578" s="4">
        <v>2972</v>
      </c>
      <c r="K578" s="5">
        <f t="shared" ref="K578:K641" si="55">J578/J$677*1000000</f>
        <v>1604.4977765396727</v>
      </c>
      <c r="L578" s="5">
        <v>0</v>
      </c>
      <c r="M578" s="5">
        <v>0</v>
      </c>
      <c r="N578" s="4">
        <v>0</v>
      </c>
      <c r="O578" s="5">
        <f t="shared" ref="O578:O641" si="56">AVERAGE(L578:N578)</f>
        <v>0</v>
      </c>
      <c r="P578" s="4">
        <v>0</v>
      </c>
      <c r="Q578" s="4">
        <v>0</v>
      </c>
      <c r="R578" s="4">
        <v>0</v>
      </c>
      <c r="S578" s="5">
        <f t="shared" ref="S578:S641" si="57">AVERAGE(P578:R578)</f>
        <v>0</v>
      </c>
      <c r="T578" s="5">
        <f t="shared" ref="T578:T641" si="58">K578/I578</f>
        <v>0.85049605671678608</v>
      </c>
      <c r="U578" s="5">
        <f t="shared" ref="U578:U641" si="59">S578/((O578+1)*T578)</f>
        <v>0</v>
      </c>
      <c r="V578" s="4">
        <v>10</v>
      </c>
      <c r="W578" s="4">
        <v>-7</v>
      </c>
      <c r="X578" s="4">
        <v>-16</v>
      </c>
      <c r="Y578" s="4">
        <v>-22</v>
      </c>
      <c r="Z578" s="4">
        <v>0</v>
      </c>
      <c r="AA578" s="4">
        <v>0</v>
      </c>
      <c r="AB578" s="4">
        <v>0</v>
      </c>
      <c r="AC578" s="4">
        <v>0</v>
      </c>
      <c r="AD578" s="4"/>
      <c r="AE578" s="54">
        <v>2.1464824676513672E-3</v>
      </c>
      <c r="AF578" s="54">
        <v>0.88937473297119141</v>
      </c>
    </row>
    <row r="579" spans="1:32" x14ac:dyDescent="0.2">
      <c r="A579" s="53" t="s">
        <v>2243</v>
      </c>
      <c r="B579" s="53" t="s">
        <v>2296</v>
      </c>
      <c r="C579" s="54" t="s">
        <v>3408</v>
      </c>
      <c r="D579" s="13" t="s">
        <v>518</v>
      </c>
      <c r="E579" s="4" t="s">
        <v>520</v>
      </c>
      <c r="F579" s="4" t="s">
        <v>519</v>
      </c>
      <c r="G579" s="4" t="s">
        <v>81</v>
      </c>
      <c r="H579" s="4">
        <v>376</v>
      </c>
      <c r="I579" s="5">
        <f t="shared" si="54"/>
        <v>293.60113504949442</v>
      </c>
      <c r="J579" s="4">
        <v>1821</v>
      </c>
      <c r="K579" s="5">
        <f t="shared" si="55"/>
        <v>983.10580453524346</v>
      </c>
      <c r="L579" s="5">
        <v>0</v>
      </c>
      <c r="M579" s="5">
        <v>0</v>
      </c>
      <c r="N579" s="4">
        <v>0</v>
      </c>
      <c r="O579" s="5">
        <f t="shared" si="56"/>
        <v>0</v>
      </c>
      <c r="P579" s="4">
        <v>0</v>
      </c>
      <c r="Q579" s="4">
        <v>0</v>
      </c>
      <c r="R579" s="4">
        <v>0</v>
      </c>
      <c r="S579" s="5">
        <f t="shared" si="57"/>
        <v>0</v>
      </c>
      <c r="T579" s="5">
        <f t="shared" si="58"/>
        <v>3.3484400677453592</v>
      </c>
      <c r="U579" s="5">
        <f t="shared" si="59"/>
        <v>0</v>
      </c>
      <c r="V579" s="4">
        <v>-17</v>
      </c>
      <c r="W579" s="4">
        <v>-6</v>
      </c>
      <c r="X579" s="4">
        <v>26</v>
      </c>
      <c r="Y579" s="4">
        <v>-6</v>
      </c>
      <c r="Z579" s="4">
        <v>0</v>
      </c>
      <c r="AA579" s="4">
        <v>0</v>
      </c>
      <c r="AB579" s="4">
        <v>0</v>
      </c>
      <c r="AC579" s="4">
        <v>0</v>
      </c>
      <c r="AD579" s="4"/>
      <c r="AE579" s="54">
        <v>9.6392631530761719E-4</v>
      </c>
      <c r="AF579" s="54">
        <v>0.67455524206161499</v>
      </c>
    </row>
    <row r="580" spans="1:32" x14ac:dyDescent="0.2">
      <c r="A580" s="53" t="s">
        <v>2243</v>
      </c>
      <c r="B580" s="53" t="s">
        <v>2297</v>
      </c>
      <c r="C580" s="54" t="s">
        <v>3409</v>
      </c>
      <c r="D580" s="13" t="s">
        <v>870</v>
      </c>
      <c r="E580" s="4" t="s">
        <v>872</v>
      </c>
      <c r="F580" s="4" t="s">
        <v>871</v>
      </c>
      <c r="G580" s="4" t="s">
        <v>81</v>
      </c>
      <c r="H580" s="4">
        <v>913</v>
      </c>
      <c r="I580" s="5">
        <f t="shared" si="54"/>
        <v>712.91977739411811</v>
      </c>
      <c r="J580" s="4">
        <v>4837</v>
      </c>
      <c r="K580" s="5">
        <f t="shared" si="55"/>
        <v>2611.3579223157458</v>
      </c>
      <c r="L580" s="5">
        <v>0</v>
      </c>
      <c r="M580" s="5">
        <v>0</v>
      </c>
      <c r="N580" s="4">
        <v>0</v>
      </c>
      <c r="O580" s="5">
        <f t="shared" si="56"/>
        <v>0</v>
      </c>
      <c r="P580" s="4">
        <v>0</v>
      </c>
      <c r="Q580" s="4">
        <v>0</v>
      </c>
      <c r="R580" s="4">
        <v>0</v>
      </c>
      <c r="S580" s="5">
        <f t="shared" si="57"/>
        <v>0</v>
      </c>
      <c r="T580" s="5">
        <f t="shared" si="58"/>
        <v>3.662905708494784</v>
      </c>
      <c r="U580" s="5">
        <f t="shared" si="59"/>
        <v>0</v>
      </c>
      <c r="V580" s="4">
        <v>-28</v>
      </c>
      <c r="W580" s="4">
        <v>-50</v>
      </c>
      <c r="X580" s="4">
        <v>-22</v>
      </c>
      <c r="Y580" s="4">
        <v>-21</v>
      </c>
      <c r="Z580" s="4">
        <v>0</v>
      </c>
      <c r="AA580" s="4">
        <v>0</v>
      </c>
      <c r="AB580" s="4">
        <v>0</v>
      </c>
      <c r="AC580" s="4">
        <v>0</v>
      </c>
      <c r="AD580" s="4"/>
      <c r="AE580" s="54">
        <v>-1.052618026733398E-3</v>
      </c>
      <c r="AF580" s="54">
        <v>-0.69297832250595093</v>
      </c>
    </row>
    <row r="581" spans="1:32" x14ac:dyDescent="0.2">
      <c r="A581" s="53" t="s">
        <v>2243</v>
      </c>
      <c r="B581" s="53" t="s">
        <v>2298</v>
      </c>
      <c r="C581" s="54" t="s">
        <v>3410</v>
      </c>
      <c r="D581" s="13" t="s">
        <v>873</v>
      </c>
      <c r="E581" s="4" t="s">
        <v>875</v>
      </c>
      <c r="F581" s="4" t="s">
        <v>874</v>
      </c>
      <c r="G581" s="4" t="s">
        <v>81</v>
      </c>
      <c r="H581" s="4">
        <v>1304</v>
      </c>
      <c r="I581" s="5">
        <f t="shared" si="54"/>
        <v>1018.2337236822891</v>
      </c>
      <c r="J581" s="4">
        <v>2231</v>
      </c>
      <c r="K581" s="5">
        <f t="shared" si="55"/>
        <v>1204.4530751884288</v>
      </c>
      <c r="L581" s="5">
        <v>0</v>
      </c>
      <c r="M581" s="5">
        <v>0</v>
      </c>
      <c r="N581" s="4">
        <v>0</v>
      </c>
      <c r="O581" s="5">
        <f t="shared" si="56"/>
        <v>0</v>
      </c>
      <c r="P581" s="4">
        <v>0</v>
      </c>
      <c r="Q581" s="4">
        <v>0</v>
      </c>
      <c r="R581" s="4">
        <v>0</v>
      </c>
      <c r="S581" s="5">
        <f t="shared" si="57"/>
        <v>0</v>
      </c>
      <c r="T581" s="5">
        <f t="shared" si="58"/>
        <v>1.1828846827354189</v>
      </c>
      <c r="U581" s="5">
        <f t="shared" si="59"/>
        <v>0</v>
      </c>
      <c r="V581" s="4">
        <v>-326</v>
      </c>
      <c r="W581" s="4" t="s">
        <v>21</v>
      </c>
      <c r="X581" s="4" t="s">
        <v>21</v>
      </c>
      <c r="Y581" s="4" t="s">
        <v>21</v>
      </c>
      <c r="Z581" s="4">
        <v>0</v>
      </c>
      <c r="AA581" s="4">
        <v>0</v>
      </c>
      <c r="AB581" s="4">
        <v>0</v>
      </c>
      <c r="AC581" s="4">
        <v>0</v>
      </c>
      <c r="AD581" s="4"/>
      <c r="AE581" s="54">
        <v>1.664161682128906E-4</v>
      </c>
      <c r="AF581" s="54">
        <v>0.28066122531890869</v>
      </c>
    </row>
    <row r="582" spans="1:32" x14ac:dyDescent="0.2">
      <c r="A582" s="53" t="s">
        <v>2243</v>
      </c>
      <c r="B582" s="53" t="s">
        <v>2299</v>
      </c>
      <c r="C582" s="54" t="s">
        <v>3411</v>
      </c>
      <c r="D582" s="30" t="s">
        <v>876</v>
      </c>
      <c r="E582" s="31" t="s">
        <v>878</v>
      </c>
      <c r="F582" s="4" t="s">
        <v>877</v>
      </c>
      <c r="G582" s="4" t="s">
        <v>81</v>
      </c>
      <c r="H582" s="4">
        <v>613</v>
      </c>
      <c r="I582" s="5">
        <f t="shared" si="54"/>
        <v>478.66355262058534</v>
      </c>
      <c r="J582" s="4">
        <v>4776</v>
      </c>
      <c r="K582" s="5">
        <f t="shared" si="55"/>
        <v>2578.425767413687</v>
      </c>
      <c r="L582" s="5">
        <v>0</v>
      </c>
      <c r="M582" s="5">
        <v>0</v>
      </c>
      <c r="N582" s="4">
        <v>0</v>
      </c>
      <c r="O582" s="5">
        <f t="shared" si="56"/>
        <v>0</v>
      </c>
      <c r="P582" s="4">
        <v>0</v>
      </c>
      <c r="Q582" s="4">
        <v>0</v>
      </c>
      <c r="R582" s="4">
        <v>0</v>
      </c>
      <c r="S582" s="5">
        <f t="shared" si="57"/>
        <v>0</v>
      </c>
      <c r="T582" s="5">
        <f t="shared" si="58"/>
        <v>5.3867184023043571</v>
      </c>
      <c r="U582" s="5">
        <f t="shared" si="59"/>
        <v>0</v>
      </c>
      <c r="V582" s="4">
        <v>27</v>
      </c>
      <c r="W582" s="4">
        <v>6</v>
      </c>
      <c r="X582" s="4">
        <v>-20</v>
      </c>
      <c r="Y582" s="4">
        <v>-1</v>
      </c>
      <c r="Z582" s="4">
        <v>0</v>
      </c>
      <c r="AA582" s="4">
        <v>0</v>
      </c>
      <c r="AB582" s="4">
        <v>0</v>
      </c>
      <c r="AC582" s="4">
        <v>0</v>
      </c>
      <c r="AD582" s="4"/>
      <c r="AE582" s="54">
        <v>2.58636474609375E-3</v>
      </c>
      <c r="AF582" s="54">
        <v>0.92219406366348267</v>
      </c>
    </row>
    <row r="583" spans="1:32" x14ac:dyDescent="0.2">
      <c r="A583" s="53" t="s">
        <v>2243</v>
      </c>
      <c r="B583" s="53" t="s">
        <v>2295</v>
      </c>
      <c r="C583" s="54" t="s">
        <v>3412</v>
      </c>
      <c r="D583" s="13" t="s">
        <v>1249</v>
      </c>
      <c r="E583" s="4" t="s">
        <v>1251</v>
      </c>
      <c r="F583" s="4" t="s">
        <v>1250</v>
      </c>
      <c r="G583" s="4" t="s">
        <v>176</v>
      </c>
      <c r="H583" s="4">
        <v>434</v>
      </c>
      <c r="I583" s="5">
        <f t="shared" si="54"/>
        <v>338.8906718390441</v>
      </c>
      <c r="J583" s="4">
        <v>2898</v>
      </c>
      <c r="K583" s="5">
        <f t="shared" si="55"/>
        <v>1564.5472935437319</v>
      </c>
      <c r="L583" s="5">
        <v>0</v>
      </c>
      <c r="M583" s="5">
        <v>0</v>
      </c>
      <c r="N583" s="4">
        <v>0</v>
      </c>
      <c r="O583" s="5">
        <f t="shared" si="56"/>
        <v>0</v>
      </c>
      <c r="P583" s="4">
        <v>0</v>
      </c>
      <c r="Q583" s="4">
        <v>0</v>
      </c>
      <c r="R583" s="4">
        <v>0</v>
      </c>
      <c r="S583" s="5">
        <f t="shared" si="57"/>
        <v>0</v>
      </c>
      <c r="T583" s="5">
        <f t="shared" si="58"/>
        <v>4.6166726426946703</v>
      </c>
      <c r="U583" s="5">
        <f t="shared" si="59"/>
        <v>0</v>
      </c>
      <c r="V583" s="4">
        <v>11</v>
      </c>
      <c r="W583" s="4">
        <v>2</v>
      </c>
      <c r="X583" s="4">
        <v>26</v>
      </c>
      <c r="Y583" s="4">
        <v>2</v>
      </c>
      <c r="Z583" s="4">
        <v>0</v>
      </c>
      <c r="AA583" s="4">
        <v>0</v>
      </c>
      <c r="AB583" s="4">
        <v>0</v>
      </c>
      <c r="AC583" s="4">
        <v>0</v>
      </c>
      <c r="AD583" s="4"/>
      <c r="AE583" s="54">
        <v>4.4584274291992188E-4</v>
      </c>
      <c r="AF583" s="54">
        <v>0.4590030312538147</v>
      </c>
    </row>
    <row r="584" spans="1:32" x14ac:dyDescent="0.2">
      <c r="A584" s="53" t="s">
        <v>2243</v>
      </c>
      <c r="B584" s="53" t="s">
        <v>2294</v>
      </c>
      <c r="C584" s="54" t="s">
        <v>3413</v>
      </c>
      <c r="D584" s="13" t="s">
        <v>1443</v>
      </c>
      <c r="E584" s="4" t="s">
        <v>1445</v>
      </c>
      <c r="F584" s="4" t="s">
        <v>1444</v>
      </c>
      <c r="G584" s="4" t="s">
        <v>164</v>
      </c>
      <c r="H584" s="4">
        <v>2155</v>
      </c>
      <c r="I584" s="5">
        <f t="shared" si="54"/>
        <v>1682.7405479565439</v>
      </c>
      <c r="J584" s="4">
        <v>3010</v>
      </c>
      <c r="K584" s="5">
        <f t="shared" si="55"/>
        <v>1625.0128894294801</v>
      </c>
      <c r="L584" s="5">
        <v>0</v>
      </c>
      <c r="M584" s="5">
        <v>0</v>
      </c>
      <c r="N584" s="4">
        <v>0</v>
      </c>
      <c r="O584" s="5">
        <f t="shared" si="56"/>
        <v>0</v>
      </c>
      <c r="P584" s="4">
        <v>0</v>
      </c>
      <c r="Q584" s="4">
        <v>0</v>
      </c>
      <c r="R584" s="4">
        <v>0</v>
      </c>
      <c r="S584" s="5">
        <f t="shared" si="57"/>
        <v>0</v>
      </c>
      <c r="T584" s="5">
        <f t="shared" si="58"/>
        <v>0.96569426071228504</v>
      </c>
      <c r="U584" s="5">
        <f t="shared" si="59"/>
        <v>0</v>
      </c>
      <c r="V584" s="4">
        <v>21</v>
      </c>
      <c r="W584" s="4">
        <v>3</v>
      </c>
      <c r="X584" s="4">
        <v>3</v>
      </c>
      <c r="Y584" s="4">
        <v>27</v>
      </c>
      <c r="Z584" s="4">
        <v>0</v>
      </c>
      <c r="AA584" s="4">
        <v>0</v>
      </c>
      <c r="AB584" s="4">
        <v>0</v>
      </c>
      <c r="AC584" s="4">
        <v>0</v>
      </c>
      <c r="AD584" s="4"/>
      <c r="AE584" s="54">
        <v>-0.18317604064941409</v>
      </c>
      <c r="AF584" s="54">
        <v>-0.99997997283935547</v>
      </c>
    </row>
    <row r="585" spans="1:32" x14ac:dyDescent="0.2">
      <c r="A585" s="53" t="s">
        <v>2243</v>
      </c>
      <c r="B585" s="53" t="s">
        <v>2292</v>
      </c>
      <c r="C585" s="54" t="s">
        <v>3415</v>
      </c>
      <c r="D585" s="13" t="s">
        <v>867</v>
      </c>
      <c r="E585" s="4" t="s">
        <v>869</v>
      </c>
      <c r="F585" s="4" t="s">
        <v>868</v>
      </c>
      <c r="G585" s="4" t="s">
        <v>365</v>
      </c>
      <c r="H585" s="4">
        <v>129</v>
      </c>
      <c r="I585" s="5">
        <f t="shared" si="54"/>
        <v>100.73017665261911</v>
      </c>
      <c r="J585" s="4">
        <v>3444</v>
      </c>
      <c r="K585" s="5">
        <f t="shared" si="55"/>
        <v>1859.3170734867538</v>
      </c>
      <c r="L585" s="5">
        <v>0</v>
      </c>
      <c r="M585" s="5">
        <v>0</v>
      </c>
      <c r="N585" s="4">
        <v>0</v>
      </c>
      <c r="O585" s="5">
        <f t="shared" si="56"/>
        <v>0</v>
      </c>
      <c r="P585" s="4">
        <v>0</v>
      </c>
      <c r="Q585" s="4">
        <v>0</v>
      </c>
      <c r="R585" s="4">
        <v>0</v>
      </c>
      <c r="S585" s="5">
        <f t="shared" si="57"/>
        <v>0</v>
      </c>
      <c r="T585" s="5">
        <f t="shared" si="58"/>
        <v>18.458391867005719</v>
      </c>
      <c r="U585" s="5">
        <f t="shared" si="59"/>
        <v>0</v>
      </c>
      <c r="V585" s="4">
        <v>8</v>
      </c>
      <c r="W585" s="4">
        <v>17</v>
      </c>
      <c r="X585" s="4">
        <v>32</v>
      </c>
      <c r="Y585" s="4">
        <v>-2</v>
      </c>
      <c r="Z585" s="4">
        <v>0</v>
      </c>
      <c r="AA585" s="4">
        <v>0</v>
      </c>
      <c r="AB585" s="4">
        <v>0</v>
      </c>
      <c r="AC585" s="4">
        <v>0</v>
      </c>
      <c r="AD585" s="4"/>
      <c r="AE585" s="54">
        <v>-2.498626708984375E-3</v>
      </c>
      <c r="AF585" s="54">
        <v>-0.91499143838882446</v>
      </c>
    </row>
    <row r="586" spans="1:32" x14ac:dyDescent="0.2">
      <c r="A586" s="53" t="s">
        <v>2243</v>
      </c>
      <c r="B586" s="53" t="s">
        <v>2291</v>
      </c>
      <c r="C586" s="54" t="s">
        <v>3416</v>
      </c>
      <c r="D586" s="13" t="s">
        <v>1926</v>
      </c>
      <c r="E586" s="4" t="s">
        <v>1928</v>
      </c>
      <c r="F586" s="4" t="s">
        <v>1927</v>
      </c>
      <c r="G586" s="4" t="s">
        <v>54</v>
      </c>
      <c r="H586" s="4">
        <v>960</v>
      </c>
      <c r="I586" s="5">
        <f t="shared" si="54"/>
        <v>749.61991927530494</v>
      </c>
      <c r="J586" s="4">
        <v>1665</v>
      </c>
      <c r="K586" s="5">
        <f t="shared" si="55"/>
        <v>898.88586740866594</v>
      </c>
      <c r="L586" s="5">
        <v>0</v>
      </c>
      <c r="M586" s="5">
        <v>0</v>
      </c>
      <c r="N586" s="4">
        <v>0</v>
      </c>
      <c r="O586" s="5">
        <f t="shared" si="56"/>
        <v>0</v>
      </c>
      <c r="P586" s="4">
        <v>0</v>
      </c>
      <c r="Q586" s="4">
        <v>0</v>
      </c>
      <c r="R586" s="4">
        <v>0</v>
      </c>
      <c r="S586" s="5">
        <f t="shared" si="57"/>
        <v>0</v>
      </c>
      <c r="T586" s="5">
        <f t="shared" si="58"/>
        <v>1.1991221741781672</v>
      </c>
      <c r="U586" s="5">
        <f t="shared" si="59"/>
        <v>0</v>
      </c>
      <c r="V586" s="4">
        <v>1</v>
      </c>
      <c r="W586" s="4">
        <v>14</v>
      </c>
      <c r="X586" s="4">
        <v>1</v>
      </c>
      <c r="Y586" s="4">
        <v>38</v>
      </c>
      <c r="Z586" s="4">
        <v>0</v>
      </c>
      <c r="AA586" s="4">
        <v>0</v>
      </c>
      <c r="AB586" s="4">
        <v>0</v>
      </c>
      <c r="AC586" s="4">
        <v>0</v>
      </c>
      <c r="AD586" s="4"/>
      <c r="AE586" s="54">
        <v>2.613067626953125E-4</v>
      </c>
      <c r="AF586" s="54">
        <v>0.35324940085411072</v>
      </c>
    </row>
    <row r="587" spans="1:32" x14ac:dyDescent="0.2">
      <c r="A587" s="53" t="s">
        <v>2243</v>
      </c>
      <c r="B587" s="53" t="s">
        <v>2290</v>
      </c>
      <c r="C587" s="54" t="s">
        <v>3417</v>
      </c>
      <c r="D587" s="13" t="s">
        <v>515</v>
      </c>
      <c r="E587" s="4" t="s">
        <v>517</v>
      </c>
      <c r="F587" s="4" t="s">
        <v>516</v>
      </c>
      <c r="G587" s="4" t="s">
        <v>54</v>
      </c>
      <c r="H587" s="4">
        <v>321</v>
      </c>
      <c r="I587" s="5">
        <f t="shared" si="54"/>
        <v>250.65416050768007</v>
      </c>
      <c r="J587" s="4">
        <v>5111</v>
      </c>
      <c r="K587" s="5">
        <f t="shared" si="55"/>
        <v>2759.2826836790937</v>
      </c>
      <c r="L587" s="5">
        <v>0</v>
      </c>
      <c r="M587" s="5">
        <v>0</v>
      </c>
      <c r="N587" s="4">
        <v>0</v>
      </c>
      <c r="O587" s="5">
        <f t="shared" si="56"/>
        <v>0</v>
      </c>
      <c r="P587" s="4">
        <v>0</v>
      </c>
      <c r="Q587" s="4">
        <v>0</v>
      </c>
      <c r="R587" s="4">
        <v>0</v>
      </c>
      <c r="S587" s="5">
        <f t="shared" si="57"/>
        <v>0</v>
      </c>
      <c r="T587" s="5">
        <f t="shared" si="58"/>
        <v>11.008325886513857</v>
      </c>
      <c r="U587" s="5">
        <f t="shared" si="59"/>
        <v>0</v>
      </c>
      <c r="V587" s="4">
        <v>15</v>
      </c>
      <c r="W587" s="4">
        <v>2</v>
      </c>
      <c r="X587" s="4">
        <v>15</v>
      </c>
      <c r="Y587" s="4">
        <v>39</v>
      </c>
      <c r="Z587" s="4">
        <v>0</v>
      </c>
      <c r="AA587" s="4">
        <v>0</v>
      </c>
      <c r="AB587" s="4">
        <v>0</v>
      </c>
      <c r="AC587" s="4">
        <v>0</v>
      </c>
      <c r="AD587" s="4"/>
      <c r="AE587" s="54">
        <v>-3.0994415283203118E-5</v>
      </c>
      <c r="AF587" s="54">
        <v>-0.1034524366259575</v>
      </c>
    </row>
    <row r="588" spans="1:32" x14ac:dyDescent="0.2">
      <c r="A588" s="53" t="s">
        <v>2243</v>
      </c>
      <c r="B588" s="53" t="s">
        <v>2289</v>
      </c>
      <c r="C588" s="54" t="s">
        <v>3418</v>
      </c>
      <c r="D588" s="13" t="s">
        <v>1440</v>
      </c>
      <c r="E588" s="4" t="s">
        <v>1442</v>
      </c>
      <c r="F588" s="4" t="s">
        <v>1441</v>
      </c>
      <c r="G588" s="4" t="s">
        <v>54</v>
      </c>
      <c r="H588" s="4">
        <v>467</v>
      </c>
      <c r="I588" s="5">
        <f t="shared" si="54"/>
        <v>364.65885656413275</v>
      </c>
      <c r="J588" s="4">
        <v>578</v>
      </c>
      <c r="K588" s="5">
        <f t="shared" si="55"/>
        <v>312.04566448180714</v>
      </c>
      <c r="L588" s="5">
        <v>0</v>
      </c>
      <c r="M588" s="5">
        <v>0</v>
      </c>
      <c r="N588" s="4">
        <v>0</v>
      </c>
      <c r="O588" s="5">
        <f t="shared" si="56"/>
        <v>0</v>
      </c>
      <c r="P588" s="4">
        <v>0</v>
      </c>
      <c r="Q588" s="4">
        <v>0</v>
      </c>
      <c r="R588" s="4">
        <v>0</v>
      </c>
      <c r="S588" s="5">
        <f t="shared" si="57"/>
        <v>0</v>
      </c>
      <c r="T588" s="5">
        <f t="shared" si="58"/>
        <v>0.85571941792925432</v>
      </c>
      <c r="U588" s="5">
        <f t="shared" si="59"/>
        <v>0</v>
      </c>
      <c r="V588" s="4">
        <v>-45</v>
      </c>
      <c r="W588" s="4">
        <v>4</v>
      </c>
      <c r="X588" s="4">
        <v>3</v>
      </c>
      <c r="Y588" s="4">
        <v>-28</v>
      </c>
      <c r="Z588" s="4">
        <v>0</v>
      </c>
      <c r="AA588" s="4">
        <v>0</v>
      </c>
      <c r="AB588" s="4">
        <v>0</v>
      </c>
      <c r="AC588" s="4">
        <v>0</v>
      </c>
      <c r="AD588" s="19"/>
      <c r="AE588" s="54">
        <v>4.2724609375E-4</v>
      </c>
      <c r="AF588" s="54">
        <v>0.44984942674636841</v>
      </c>
    </row>
    <row r="589" spans="1:32" x14ac:dyDescent="0.2">
      <c r="A589" s="53" t="s">
        <v>2243</v>
      </c>
      <c r="B589" s="53" t="s">
        <v>2288</v>
      </c>
      <c r="C589" s="54" t="s">
        <v>3419</v>
      </c>
      <c r="D589" s="13" t="s">
        <v>864</v>
      </c>
      <c r="E589" s="4" t="s">
        <v>866</v>
      </c>
      <c r="F589" s="4" t="s">
        <v>865</v>
      </c>
      <c r="G589" s="4" t="s">
        <v>54</v>
      </c>
      <c r="H589" s="4">
        <v>7732</v>
      </c>
      <c r="I589" s="5">
        <f t="shared" si="54"/>
        <v>6037.5637664965179</v>
      </c>
      <c r="J589" s="4">
        <v>542</v>
      </c>
      <c r="K589" s="5">
        <f t="shared" si="55"/>
        <v>292.61029437567385</v>
      </c>
      <c r="L589" s="5">
        <v>0</v>
      </c>
      <c r="M589" s="5">
        <v>0</v>
      </c>
      <c r="N589" s="4">
        <v>0</v>
      </c>
      <c r="O589" s="5">
        <f t="shared" si="56"/>
        <v>0</v>
      </c>
      <c r="P589" s="4">
        <v>0</v>
      </c>
      <c r="Q589" s="4">
        <v>0</v>
      </c>
      <c r="R589" s="4">
        <v>0</v>
      </c>
      <c r="S589" s="5">
        <f t="shared" si="57"/>
        <v>0</v>
      </c>
      <c r="T589" s="5">
        <f t="shared" si="58"/>
        <v>4.8464961314266988E-2</v>
      </c>
      <c r="U589" s="5">
        <f t="shared" si="59"/>
        <v>0</v>
      </c>
      <c r="V589" s="4">
        <v>0</v>
      </c>
      <c r="W589" s="4">
        <v>46</v>
      </c>
      <c r="X589" s="4">
        <v>-3</v>
      </c>
      <c r="Y589" s="4">
        <v>45</v>
      </c>
      <c r="Z589" s="4">
        <v>0</v>
      </c>
      <c r="AA589" s="4">
        <v>0</v>
      </c>
      <c r="AB589" s="4">
        <v>0</v>
      </c>
      <c r="AC589" s="4">
        <v>0</v>
      </c>
      <c r="AD589" s="4"/>
      <c r="AE589" s="54">
        <v>-1.5923976898193359E-3</v>
      </c>
      <c r="AF589" s="54">
        <v>-0.81510752439498901</v>
      </c>
    </row>
    <row r="590" spans="1:32" x14ac:dyDescent="0.2">
      <c r="A590" s="53" t="s">
        <v>2243</v>
      </c>
      <c r="B590" s="53" t="s">
        <v>2286</v>
      </c>
      <c r="C590" s="54" t="s">
        <v>3420</v>
      </c>
      <c r="D590" s="13" t="s">
        <v>861</v>
      </c>
      <c r="E590" s="4" t="s">
        <v>863</v>
      </c>
      <c r="F590" s="4" t="s">
        <v>862</v>
      </c>
      <c r="G590" s="4" t="s">
        <v>54</v>
      </c>
      <c r="H590" s="4">
        <v>879</v>
      </c>
      <c r="I590" s="5">
        <f t="shared" si="54"/>
        <v>686.37073858645101</v>
      </c>
      <c r="J590" s="4">
        <v>2518</v>
      </c>
      <c r="K590" s="5">
        <f t="shared" si="55"/>
        <v>1359.396164645658</v>
      </c>
      <c r="L590" s="5">
        <v>0</v>
      </c>
      <c r="M590" s="5">
        <v>0</v>
      </c>
      <c r="N590" s="4">
        <v>0</v>
      </c>
      <c r="O590" s="5">
        <f t="shared" si="56"/>
        <v>0</v>
      </c>
      <c r="P590" s="4">
        <v>0</v>
      </c>
      <c r="Q590" s="4">
        <v>0</v>
      </c>
      <c r="R590" s="4">
        <v>0</v>
      </c>
      <c r="S590" s="5">
        <f t="shared" si="57"/>
        <v>0</v>
      </c>
      <c r="T590" s="5">
        <f t="shared" si="58"/>
        <v>1.9805566994963566</v>
      </c>
      <c r="U590" s="5">
        <f t="shared" si="59"/>
        <v>0</v>
      </c>
      <c r="V590" s="4">
        <v>-30</v>
      </c>
      <c r="W590" s="4">
        <v>7</v>
      </c>
      <c r="X590" s="4">
        <v>19</v>
      </c>
      <c r="Y590" s="4">
        <v>-5</v>
      </c>
      <c r="Z590" s="4">
        <v>0</v>
      </c>
      <c r="AA590" s="4">
        <v>0</v>
      </c>
      <c r="AB590" s="4">
        <v>0</v>
      </c>
      <c r="AC590" s="4">
        <v>0</v>
      </c>
      <c r="AD590" s="4"/>
      <c r="AE590" s="54">
        <v>1.7952919006347661E-3</v>
      </c>
      <c r="AF590" s="54">
        <v>0.84712618589401245</v>
      </c>
    </row>
    <row r="591" spans="1:32" x14ac:dyDescent="0.2">
      <c r="A591" s="53" t="s">
        <v>2243</v>
      </c>
      <c r="B591" s="53" t="s">
        <v>2285</v>
      </c>
      <c r="C591" s="54" t="s">
        <v>3421</v>
      </c>
      <c r="D591" s="13" t="s">
        <v>509</v>
      </c>
      <c r="E591" s="4" t="s">
        <v>511</v>
      </c>
      <c r="F591" s="4" t="s">
        <v>510</v>
      </c>
      <c r="G591" s="4" t="s">
        <v>164</v>
      </c>
      <c r="H591" s="4">
        <v>714</v>
      </c>
      <c r="I591" s="5">
        <f t="shared" si="54"/>
        <v>557.52981496100801</v>
      </c>
      <c r="J591" s="4">
        <v>3272</v>
      </c>
      <c r="K591" s="5">
        <f t="shared" si="55"/>
        <v>1766.4591940907837</v>
      </c>
      <c r="L591" s="5">
        <v>0</v>
      </c>
      <c r="M591" s="5">
        <v>0</v>
      </c>
      <c r="N591" s="4">
        <v>0</v>
      </c>
      <c r="O591" s="5">
        <f t="shared" si="56"/>
        <v>0</v>
      </c>
      <c r="P591" s="4">
        <v>0</v>
      </c>
      <c r="Q591" s="4">
        <v>0</v>
      </c>
      <c r="R591" s="4">
        <v>0</v>
      </c>
      <c r="S591" s="5">
        <f t="shared" si="57"/>
        <v>0</v>
      </c>
      <c r="T591" s="5">
        <f t="shared" si="58"/>
        <v>3.1683672275254455</v>
      </c>
      <c r="U591" s="5">
        <f t="shared" si="59"/>
        <v>0</v>
      </c>
      <c r="V591" s="4">
        <v>26</v>
      </c>
      <c r="W591" s="4">
        <v>45</v>
      </c>
      <c r="X591" s="4">
        <v>-32</v>
      </c>
      <c r="Y591" s="4">
        <v>-1</v>
      </c>
      <c r="Z591" s="4">
        <v>0</v>
      </c>
      <c r="AA591" s="4">
        <v>0</v>
      </c>
      <c r="AB591" s="4">
        <v>0</v>
      </c>
      <c r="AC591" s="4">
        <v>0</v>
      </c>
      <c r="AD591" s="4"/>
      <c r="AE591" s="54">
        <v>1.267671585083008E-3</v>
      </c>
      <c r="AF591" s="54">
        <v>0.75825417041778564</v>
      </c>
    </row>
    <row r="592" spans="1:32" x14ac:dyDescent="0.2">
      <c r="A592" s="53" t="s">
        <v>2243</v>
      </c>
      <c r="B592" s="53" t="s">
        <v>2284</v>
      </c>
      <c r="C592" s="54" t="s">
        <v>3422</v>
      </c>
      <c r="D592" s="13" t="s">
        <v>506</v>
      </c>
      <c r="E592" s="4" t="s">
        <v>508</v>
      </c>
      <c r="F592" s="4" t="s">
        <v>507</v>
      </c>
      <c r="G592" s="4" t="s">
        <v>54</v>
      </c>
      <c r="H592" s="4">
        <v>925</v>
      </c>
      <c r="I592" s="5">
        <f t="shared" si="54"/>
        <v>722.29002638505949</v>
      </c>
      <c r="J592" s="4">
        <v>720</v>
      </c>
      <c r="K592" s="5">
        <f t="shared" si="55"/>
        <v>388.70740212266634</v>
      </c>
      <c r="L592" s="5">
        <v>0</v>
      </c>
      <c r="M592" s="5">
        <v>0</v>
      </c>
      <c r="N592" s="4">
        <v>0</v>
      </c>
      <c r="O592" s="5">
        <f t="shared" si="56"/>
        <v>0</v>
      </c>
      <c r="P592" s="4">
        <v>0</v>
      </c>
      <c r="Q592" s="4">
        <v>0</v>
      </c>
      <c r="R592" s="4">
        <v>0</v>
      </c>
      <c r="S592" s="5">
        <f t="shared" si="57"/>
        <v>0</v>
      </c>
      <c r="T592" s="5">
        <f t="shared" si="58"/>
        <v>0.5381597252118816</v>
      </c>
      <c r="U592" s="5">
        <f t="shared" si="59"/>
        <v>0</v>
      </c>
      <c r="V592" s="4">
        <v>22</v>
      </c>
      <c r="W592" s="4">
        <v>21</v>
      </c>
      <c r="X592" s="4">
        <v>-9</v>
      </c>
      <c r="Y592" s="4">
        <v>21</v>
      </c>
      <c r="Z592" s="4">
        <v>0</v>
      </c>
      <c r="AA592" s="4">
        <v>0</v>
      </c>
      <c r="AB592" s="4">
        <v>0</v>
      </c>
      <c r="AC592" s="4">
        <v>0.06</v>
      </c>
      <c r="AD592" s="4"/>
      <c r="AE592" s="54">
        <v>-1.4550685882568359E-3</v>
      </c>
      <c r="AF592" s="54">
        <v>-0.79053133726119995</v>
      </c>
    </row>
    <row r="593" spans="1:32" x14ac:dyDescent="0.2">
      <c r="A593" s="53" t="s">
        <v>2243</v>
      </c>
      <c r="B593" s="53" t="s">
        <v>2282</v>
      </c>
      <c r="C593" s="54" t="s">
        <v>3424</v>
      </c>
      <c r="D593" s="13" t="s">
        <v>503</v>
      </c>
      <c r="E593" s="4" t="s">
        <v>505</v>
      </c>
      <c r="F593" s="4" t="s">
        <v>504</v>
      </c>
      <c r="G593" s="4" t="s">
        <v>54</v>
      </c>
      <c r="H593" s="4">
        <v>145</v>
      </c>
      <c r="I593" s="5">
        <f t="shared" si="54"/>
        <v>113.22384197387419</v>
      </c>
      <c r="J593" s="4">
        <v>2351</v>
      </c>
      <c r="K593" s="5">
        <f t="shared" si="55"/>
        <v>1269.237642208873</v>
      </c>
      <c r="L593" s="5">
        <v>0</v>
      </c>
      <c r="M593" s="5">
        <v>0</v>
      </c>
      <c r="N593" s="4">
        <v>0</v>
      </c>
      <c r="O593" s="5">
        <f t="shared" si="56"/>
        <v>0</v>
      </c>
      <c r="P593" s="4">
        <v>0</v>
      </c>
      <c r="Q593" s="4">
        <v>0</v>
      </c>
      <c r="R593" s="4">
        <v>0</v>
      </c>
      <c r="S593" s="5">
        <f t="shared" si="57"/>
        <v>0</v>
      </c>
      <c r="T593" s="5">
        <f t="shared" si="58"/>
        <v>11.209985636256214</v>
      </c>
      <c r="U593" s="5">
        <f t="shared" si="59"/>
        <v>0</v>
      </c>
      <c r="V593" s="4">
        <v>40</v>
      </c>
      <c r="W593" s="4">
        <v>2</v>
      </c>
      <c r="X593" s="4">
        <v>-23</v>
      </c>
      <c r="Y593" s="4">
        <v>-39</v>
      </c>
      <c r="Z593" s="4">
        <v>0</v>
      </c>
      <c r="AA593" s="4">
        <v>0</v>
      </c>
      <c r="AB593" s="4">
        <v>0</v>
      </c>
      <c r="AC593" s="4">
        <v>0</v>
      </c>
      <c r="AD593" s="4"/>
      <c r="AE593" s="54">
        <v>-6.259608268737793E-2</v>
      </c>
      <c r="AF593" s="54">
        <v>-0.9998818039894104</v>
      </c>
    </row>
    <row r="594" spans="1:32" x14ac:dyDescent="0.2">
      <c r="A594" s="53" t="s">
        <v>2243</v>
      </c>
      <c r="B594" s="53" t="s">
        <v>2280</v>
      </c>
      <c r="C594" s="54" t="s">
        <v>3426</v>
      </c>
      <c r="D594" s="13" t="s">
        <v>858</v>
      </c>
      <c r="E594" s="4" t="s">
        <v>860</v>
      </c>
      <c r="F594" s="4" t="s">
        <v>859</v>
      </c>
      <c r="G594" s="4" t="s">
        <v>54</v>
      </c>
      <c r="H594" s="4">
        <v>513</v>
      </c>
      <c r="I594" s="5">
        <f t="shared" si="54"/>
        <v>400.57814436274106</v>
      </c>
      <c r="J594" s="4">
        <v>3890</v>
      </c>
      <c r="K594" s="5">
        <f t="shared" si="55"/>
        <v>2100.0997142460724</v>
      </c>
      <c r="L594" s="5">
        <v>0</v>
      </c>
      <c r="M594" s="5">
        <v>0</v>
      </c>
      <c r="N594" s="4">
        <v>0</v>
      </c>
      <c r="O594" s="5">
        <f t="shared" si="56"/>
        <v>0</v>
      </c>
      <c r="P594" s="4">
        <v>0</v>
      </c>
      <c r="Q594" s="4">
        <v>0</v>
      </c>
      <c r="R594" s="4">
        <v>0</v>
      </c>
      <c r="S594" s="5">
        <f t="shared" si="57"/>
        <v>0</v>
      </c>
      <c r="T594" s="5">
        <f t="shared" si="58"/>
        <v>5.2426717328450652</v>
      </c>
      <c r="U594" s="5">
        <f t="shared" si="59"/>
        <v>0</v>
      </c>
      <c r="V594" s="4">
        <v>24</v>
      </c>
      <c r="W594" s="4">
        <v>-25</v>
      </c>
      <c r="X594" s="4">
        <v>-2</v>
      </c>
      <c r="Y594" s="4">
        <v>27</v>
      </c>
      <c r="Z594" s="4">
        <v>0</v>
      </c>
      <c r="AA594" s="4">
        <v>0</v>
      </c>
      <c r="AB594" s="4">
        <v>0</v>
      </c>
      <c r="AC594" s="4">
        <v>0</v>
      </c>
      <c r="AD594" s="4"/>
      <c r="AE594" s="54">
        <v>2.8963088989257808E-3</v>
      </c>
      <c r="AF594" s="54">
        <v>0.94045054912567139</v>
      </c>
    </row>
    <row r="595" spans="1:32" x14ac:dyDescent="0.2">
      <c r="A595" s="53" t="s">
        <v>2243</v>
      </c>
      <c r="B595" s="53" t="s">
        <v>2287</v>
      </c>
      <c r="C595" s="54" t="s">
        <v>3427</v>
      </c>
      <c r="D595" s="13" t="s">
        <v>512</v>
      </c>
      <c r="E595" s="4" t="s">
        <v>514</v>
      </c>
      <c r="F595" s="4" t="s">
        <v>513</v>
      </c>
      <c r="G595" s="4" t="s">
        <v>54</v>
      </c>
      <c r="H595" s="4">
        <v>4095</v>
      </c>
      <c r="I595" s="5">
        <f t="shared" si="54"/>
        <v>3197.5974681587227</v>
      </c>
      <c r="J595" s="4">
        <v>2405</v>
      </c>
      <c r="K595" s="5">
        <f t="shared" si="55"/>
        <v>1298.390697368073</v>
      </c>
      <c r="L595" s="5">
        <v>0</v>
      </c>
      <c r="M595" s="5">
        <v>0</v>
      </c>
      <c r="N595" s="4">
        <v>0</v>
      </c>
      <c r="O595" s="5">
        <f t="shared" si="56"/>
        <v>0</v>
      </c>
      <c r="P595" s="4">
        <v>0</v>
      </c>
      <c r="Q595" s="4">
        <v>0</v>
      </c>
      <c r="R595" s="4">
        <v>0</v>
      </c>
      <c r="S595" s="5">
        <f t="shared" si="57"/>
        <v>0</v>
      </c>
      <c r="T595" s="5">
        <f t="shared" si="58"/>
        <v>0.4060519531608609</v>
      </c>
      <c r="U595" s="5">
        <f t="shared" si="59"/>
        <v>0</v>
      </c>
      <c r="V595" s="4">
        <v>15</v>
      </c>
      <c r="W595" s="4">
        <v>-28</v>
      </c>
      <c r="X595" s="4">
        <v>4</v>
      </c>
      <c r="Y595" s="4">
        <v>15</v>
      </c>
      <c r="Z595" s="4">
        <v>0</v>
      </c>
      <c r="AA595" s="4">
        <v>0</v>
      </c>
      <c r="AB595" s="4">
        <v>0</v>
      </c>
      <c r="AC595" s="4">
        <v>0</v>
      </c>
      <c r="AD595" s="4"/>
      <c r="AE595" s="54">
        <v>2.4580955505371089E-3</v>
      </c>
      <c r="AF595" s="54">
        <v>0.91499143838882446</v>
      </c>
    </row>
    <row r="596" spans="1:32" x14ac:dyDescent="0.2">
      <c r="A596" s="53" t="s">
        <v>2243</v>
      </c>
      <c r="B596" s="53" t="s">
        <v>2279</v>
      </c>
      <c r="C596" s="54" t="s">
        <v>3428</v>
      </c>
      <c r="D596" s="13" t="s">
        <v>1740</v>
      </c>
      <c r="E596" s="4" t="s">
        <v>1742</v>
      </c>
      <c r="F596" s="4" t="s">
        <v>1741</v>
      </c>
      <c r="G596" s="4" t="s">
        <v>54</v>
      </c>
      <c r="H596" s="4">
        <v>115</v>
      </c>
      <c r="I596" s="5">
        <f t="shared" si="54"/>
        <v>89.7982194965209</v>
      </c>
      <c r="J596" s="4">
        <v>1479</v>
      </c>
      <c r="K596" s="5">
        <f t="shared" si="55"/>
        <v>798.46978852697714</v>
      </c>
      <c r="L596" s="5">
        <v>0</v>
      </c>
      <c r="M596" s="5">
        <v>0</v>
      </c>
      <c r="N596" s="4">
        <v>0</v>
      </c>
      <c r="O596" s="5">
        <f t="shared" si="56"/>
        <v>0</v>
      </c>
      <c r="P596" s="4">
        <v>0</v>
      </c>
      <c r="Q596" s="4">
        <v>0</v>
      </c>
      <c r="R596" s="4">
        <v>0</v>
      </c>
      <c r="S596" s="5">
        <f t="shared" si="57"/>
        <v>0</v>
      </c>
      <c r="T596" s="5">
        <f t="shared" si="58"/>
        <v>8.891822053976389</v>
      </c>
      <c r="U596" s="5">
        <f t="shared" si="59"/>
        <v>0</v>
      </c>
      <c r="V596" s="4">
        <v>11</v>
      </c>
      <c r="W596" s="4">
        <v>46</v>
      </c>
      <c r="X596" s="4">
        <v>-29</v>
      </c>
      <c r="Y596" s="4">
        <v>-24</v>
      </c>
      <c r="Z596" s="4">
        <v>0</v>
      </c>
      <c r="AA596" s="4">
        <v>0</v>
      </c>
      <c r="AB596" s="4">
        <v>0</v>
      </c>
      <c r="AC596" s="4">
        <v>0</v>
      </c>
      <c r="AD596" s="4"/>
      <c r="AE596" s="54">
        <v>-3.7820339202880859E-3</v>
      </c>
      <c r="AF596" s="54">
        <v>-0.96905064582824707</v>
      </c>
    </row>
    <row r="597" spans="1:32" x14ac:dyDescent="0.2">
      <c r="A597" s="53" t="s">
        <v>2277</v>
      </c>
      <c r="B597" s="53" t="s">
        <v>2276</v>
      </c>
      <c r="C597" s="54" t="s">
        <v>3429</v>
      </c>
      <c r="D597" s="13" t="s">
        <v>1347</v>
      </c>
      <c r="E597" s="4" t="s">
        <v>1349</v>
      </c>
      <c r="F597" s="4" t="s">
        <v>1348</v>
      </c>
      <c r="G597" s="4" t="s">
        <v>54</v>
      </c>
      <c r="H597" s="4">
        <v>582</v>
      </c>
      <c r="I597" s="5">
        <f t="shared" si="54"/>
        <v>454.45707606065361</v>
      </c>
      <c r="J597" s="4">
        <v>4677</v>
      </c>
      <c r="K597" s="5">
        <f t="shared" si="55"/>
        <v>2524.9784996218204</v>
      </c>
      <c r="L597" s="5">
        <v>0</v>
      </c>
      <c r="M597" s="5">
        <v>0</v>
      </c>
      <c r="N597" s="4">
        <v>0</v>
      </c>
      <c r="O597" s="5">
        <f t="shared" si="56"/>
        <v>0</v>
      </c>
      <c r="P597" s="4">
        <v>0</v>
      </c>
      <c r="Q597" s="4">
        <v>0</v>
      </c>
      <c r="R597" s="4">
        <v>0</v>
      </c>
      <c r="S597" s="5">
        <f t="shared" si="57"/>
        <v>0</v>
      </c>
      <c r="T597" s="5">
        <f t="shared" si="58"/>
        <v>5.5560329734745446</v>
      </c>
      <c r="U597" s="5">
        <f t="shared" si="59"/>
        <v>0</v>
      </c>
      <c r="V597" s="4">
        <v>27</v>
      </c>
      <c r="W597" s="4">
        <v>1</v>
      </c>
      <c r="X597" s="4">
        <v>-35</v>
      </c>
      <c r="Y597" s="4">
        <v>21</v>
      </c>
      <c r="Z597" s="4">
        <v>0</v>
      </c>
      <c r="AA597" s="4">
        <v>0</v>
      </c>
      <c r="AB597" s="4">
        <v>0</v>
      </c>
      <c r="AC597" s="4">
        <v>0</v>
      </c>
      <c r="AD597" s="4"/>
      <c r="AE597" s="54">
        <v>-4.7429084777832031E-2</v>
      </c>
      <c r="AF597" s="54">
        <v>-0.99984049797058105</v>
      </c>
    </row>
    <row r="598" spans="1:32" x14ac:dyDescent="0.2">
      <c r="A598" s="53" t="s">
        <v>2277</v>
      </c>
      <c r="B598" s="53" t="s">
        <v>2278</v>
      </c>
      <c r="C598" s="54" t="s">
        <v>3430</v>
      </c>
      <c r="D598" s="13" t="s">
        <v>1246</v>
      </c>
      <c r="E598" s="4" t="s">
        <v>1248</v>
      </c>
      <c r="F598" s="4" t="s">
        <v>1247</v>
      </c>
      <c r="G598" s="4" t="s">
        <v>54</v>
      </c>
      <c r="H598" s="4">
        <v>797</v>
      </c>
      <c r="I598" s="5">
        <f t="shared" si="54"/>
        <v>622.34070381501886</v>
      </c>
      <c r="J598" s="4">
        <v>3872</v>
      </c>
      <c r="K598" s="5">
        <f t="shared" si="55"/>
        <v>2090.3820291930056</v>
      </c>
      <c r="L598" s="5">
        <v>0</v>
      </c>
      <c r="M598" s="5">
        <v>0</v>
      </c>
      <c r="N598" s="4">
        <v>0</v>
      </c>
      <c r="O598" s="5">
        <f t="shared" si="56"/>
        <v>0</v>
      </c>
      <c r="P598" s="4">
        <v>0</v>
      </c>
      <c r="Q598" s="4">
        <v>0</v>
      </c>
      <c r="R598" s="4">
        <v>0</v>
      </c>
      <c r="S598" s="5">
        <f t="shared" si="57"/>
        <v>0</v>
      </c>
      <c r="T598" s="5">
        <f t="shared" si="58"/>
        <v>3.3589029552120366</v>
      </c>
      <c r="U598" s="5">
        <f t="shared" si="59"/>
        <v>0</v>
      </c>
      <c r="V598" s="4">
        <v>3</v>
      </c>
      <c r="W598" s="4">
        <v>49</v>
      </c>
      <c r="X598" s="4">
        <v>-11</v>
      </c>
      <c r="Y598" s="4">
        <v>48</v>
      </c>
      <c r="Z598" s="4">
        <v>0</v>
      </c>
      <c r="AA598" s="4">
        <v>0</v>
      </c>
      <c r="AB598" s="4">
        <v>0</v>
      </c>
      <c r="AC598" s="4">
        <v>0</v>
      </c>
      <c r="AD598" s="4"/>
      <c r="AE598" s="54">
        <v>-4.134058952331543E-2</v>
      </c>
      <c r="AF598" s="54">
        <v>-0.99979907274246216</v>
      </c>
    </row>
    <row r="599" spans="1:32" x14ac:dyDescent="0.2">
      <c r="A599" s="53" t="s">
        <v>2243</v>
      </c>
      <c r="B599" s="53" t="s">
        <v>2274</v>
      </c>
      <c r="C599" s="54" t="s">
        <v>3432</v>
      </c>
      <c r="D599" s="13" t="s">
        <v>500</v>
      </c>
      <c r="E599" s="4" t="s">
        <v>502</v>
      </c>
      <c r="F599" s="4" t="s">
        <v>501</v>
      </c>
      <c r="G599" s="4" t="s">
        <v>54</v>
      </c>
      <c r="H599" s="4">
        <v>2103</v>
      </c>
      <c r="I599" s="5">
        <f t="shared" si="54"/>
        <v>1642.136135662465</v>
      </c>
      <c r="J599" s="4">
        <v>962</v>
      </c>
      <c r="K599" s="5">
        <f t="shared" si="55"/>
        <v>519.35627894722916</v>
      </c>
      <c r="L599" s="5">
        <v>0</v>
      </c>
      <c r="M599" s="5">
        <v>0</v>
      </c>
      <c r="N599" s="4">
        <v>0</v>
      </c>
      <c r="O599" s="5">
        <f t="shared" si="56"/>
        <v>0</v>
      </c>
      <c r="P599" s="4">
        <v>0</v>
      </c>
      <c r="Q599" s="4">
        <v>0</v>
      </c>
      <c r="R599" s="4">
        <v>0</v>
      </c>
      <c r="S599" s="5">
        <f t="shared" si="57"/>
        <v>0</v>
      </c>
      <c r="T599" s="5">
        <f t="shared" si="58"/>
        <v>0.3162687110211555</v>
      </c>
      <c r="U599" s="5">
        <f t="shared" si="59"/>
        <v>0</v>
      </c>
      <c r="V599" s="4">
        <v>27</v>
      </c>
      <c r="W599" s="4">
        <v>1</v>
      </c>
      <c r="X599" s="4">
        <v>-14</v>
      </c>
      <c r="Y599" s="4">
        <v>-44</v>
      </c>
      <c r="Z599" s="4">
        <v>0</v>
      </c>
      <c r="AA599" s="4">
        <v>0</v>
      </c>
      <c r="AB599" s="4">
        <v>0</v>
      </c>
      <c r="AC599" s="4">
        <v>0</v>
      </c>
      <c r="AD599" s="4"/>
      <c r="AE599" s="54">
        <v>2.284049987792969E-4</v>
      </c>
      <c r="AF599" s="54">
        <v>0.33289417624473572</v>
      </c>
    </row>
    <row r="600" spans="1:32" x14ac:dyDescent="0.2">
      <c r="A600" s="53" t="s">
        <v>2243</v>
      </c>
      <c r="B600" s="53" t="s">
        <v>2273</v>
      </c>
      <c r="C600" s="54" t="s">
        <v>3433</v>
      </c>
      <c r="D600" s="13" t="s">
        <v>852</v>
      </c>
      <c r="E600" s="4" t="s">
        <v>854</v>
      </c>
      <c r="F600" s="4" t="s">
        <v>853</v>
      </c>
      <c r="G600" s="4" t="s">
        <v>54</v>
      </c>
      <c r="H600" s="4">
        <v>1998</v>
      </c>
      <c r="I600" s="5">
        <f t="shared" si="54"/>
        <v>1560.1464569917284</v>
      </c>
      <c r="J600" s="4">
        <v>1191</v>
      </c>
      <c r="K600" s="5">
        <f t="shared" si="55"/>
        <v>642.98682767791058</v>
      </c>
      <c r="L600" s="5">
        <v>0</v>
      </c>
      <c r="M600" s="5">
        <v>0</v>
      </c>
      <c r="N600" s="4">
        <v>0</v>
      </c>
      <c r="O600" s="5">
        <f t="shared" si="56"/>
        <v>0</v>
      </c>
      <c r="P600" s="4">
        <v>0</v>
      </c>
      <c r="Q600" s="4">
        <v>0</v>
      </c>
      <c r="R600" s="4">
        <v>0</v>
      </c>
      <c r="S600" s="5">
        <f t="shared" si="57"/>
        <v>0</v>
      </c>
      <c r="T600" s="5">
        <f t="shared" si="58"/>
        <v>0.412132351290735</v>
      </c>
      <c r="U600" s="5">
        <f t="shared" si="59"/>
        <v>0</v>
      </c>
      <c r="V600" s="4">
        <v>-11</v>
      </c>
      <c r="W600" s="4">
        <v>28</v>
      </c>
      <c r="X600" s="4">
        <v>0</v>
      </c>
      <c r="Y600" s="4">
        <v>-13</v>
      </c>
      <c r="Z600" s="4">
        <v>0</v>
      </c>
      <c r="AA600" s="4">
        <v>0</v>
      </c>
      <c r="AB600" s="4">
        <v>0</v>
      </c>
      <c r="AC600" s="4">
        <v>0</v>
      </c>
      <c r="AD600" s="4"/>
      <c r="AE600" s="54">
        <v>-2.8731822967529301E-3</v>
      </c>
      <c r="AF600" s="54">
        <v>-0.93772584199905396</v>
      </c>
    </row>
    <row r="601" spans="1:32" x14ac:dyDescent="0.2">
      <c r="A601" s="53" t="s">
        <v>2243</v>
      </c>
      <c r="B601" s="53" t="s">
        <v>2271</v>
      </c>
      <c r="C601" s="54" t="s">
        <v>3434</v>
      </c>
      <c r="D601" s="13" t="s">
        <v>1235</v>
      </c>
      <c r="E601" s="4" t="s">
        <v>1237</v>
      </c>
      <c r="F601" s="4" t="s">
        <v>1236</v>
      </c>
      <c r="G601" s="4" t="s">
        <v>54</v>
      </c>
      <c r="H601" s="4">
        <v>828</v>
      </c>
      <c r="I601" s="5">
        <f t="shared" si="54"/>
        <v>646.54718037495047</v>
      </c>
      <c r="J601" s="4">
        <v>2941</v>
      </c>
      <c r="K601" s="5">
        <f t="shared" si="55"/>
        <v>1587.7617633927246</v>
      </c>
      <c r="L601" s="5">
        <v>0</v>
      </c>
      <c r="M601" s="5">
        <v>1</v>
      </c>
      <c r="N601" s="4">
        <v>0</v>
      </c>
      <c r="O601" s="5">
        <f t="shared" si="56"/>
        <v>0.33333333333333331</v>
      </c>
      <c r="P601" s="4">
        <v>0</v>
      </c>
      <c r="Q601" s="4">
        <v>0</v>
      </c>
      <c r="R601" s="4">
        <v>0</v>
      </c>
      <c r="S601" s="5">
        <f t="shared" si="57"/>
        <v>0</v>
      </c>
      <c r="T601" s="5">
        <f t="shared" si="58"/>
        <v>2.455755452327451</v>
      </c>
      <c r="U601" s="5">
        <f t="shared" si="59"/>
        <v>0</v>
      </c>
      <c r="V601" s="4">
        <v>42</v>
      </c>
      <c r="W601" s="4">
        <v>34</v>
      </c>
      <c r="X601" s="4">
        <v>42</v>
      </c>
      <c r="Y601" s="4">
        <v>-3</v>
      </c>
      <c r="Z601" s="4">
        <v>0</v>
      </c>
      <c r="AA601" s="4">
        <v>0</v>
      </c>
      <c r="AB601" s="4">
        <v>0</v>
      </c>
      <c r="AC601" s="4">
        <v>0</v>
      </c>
      <c r="AD601" s="4"/>
      <c r="AE601" s="54">
        <v>1.5761852264404299E-3</v>
      </c>
      <c r="AF601" s="54">
        <v>0.81510752439498901</v>
      </c>
    </row>
    <row r="602" spans="1:32" x14ac:dyDescent="0.2">
      <c r="A602" s="53" t="s">
        <v>2243</v>
      </c>
      <c r="B602" s="53" t="s">
        <v>2270</v>
      </c>
      <c r="C602" s="54" t="s">
        <v>3436</v>
      </c>
      <c r="D602" s="13" t="s">
        <v>1737</v>
      </c>
      <c r="E602" s="4" t="s">
        <v>1739</v>
      </c>
      <c r="F602" s="4" t="s">
        <v>1738</v>
      </c>
      <c r="G602" s="4" t="s">
        <v>54</v>
      </c>
      <c r="H602" s="4">
        <v>336</v>
      </c>
      <c r="I602" s="5">
        <f t="shared" si="54"/>
        <v>262.36697174635668</v>
      </c>
      <c r="J602" s="4">
        <v>3993</v>
      </c>
      <c r="K602" s="5">
        <f t="shared" si="55"/>
        <v>2155.7064676052873</v>
      </c>
      <c r="L602" s="5">
        <v>0</v>
      </c>
      <c r="M602" s="5">
        <v>0</v>
      </c>
      <c r="N602" s="4">
        <v>0</v>
      </c>
      <c r="O602" s="5">
        <f t="shared" si="56"/>
        <v>0</v>
      </c>
      <c r="P602" s="4">
        <v>0</v>
      </c>
      <c r="Q602" s="4">
        <v>0</v>
      </c>
      <c r="R602" s="4">
        <v>0</v>
      </c>
      <c r="S602" s="5">
        <f t="shared" si="57"/>
        <v>0</v>
      </c>
      <c r="T602" s="5">
        <f t="shared" si="58"/>
        <v>8.2163789643816791</v>
      </c>
      <c r="U602" s="5">
        <f t="shared" si="59"/>
        <v>0</v>
      </c>
      <c r="V602" s="4">
        <v>35</v>
      </c>
      <c r="W602" s="4">
        <v>2</v>
      </c>
      <c r="X602" s="4">
        <v>30</v>
      </c>
      <c r="Y602" s="4">
        <v>24</v>
      </c>
      <c r="Z602" s="4">
        <v>0</v>
      </c>
      <c r="AA602" s="4">
        <v>0</v>
      </c>
      <c r="AB602" s="4">
        <v>0</v>
      </c>
      <c r="AC602" s="4">
        <v>0</v>
      </c>
      <c r="AD602" s="4"/>
      <c r="AE602" s="54">
        <v>-2.2132396697998051E-3</v>
      </c>
      <c r="AF602" s="54">
        <v>-0.89176130294799805</v>
      </c>
    </row>
    <row r="603" spans="1:32" x14ac:dyDescent="0.2">
      <c r="A603" s="53" t="s">
        <v>2243</v>
      </c>
      <c r="B603" s="53" t="s">
        <v>2269</v>
      </c>
      <c r="C603" s="54" t="s">
        <v>3437</v>
      </c>
      <c r="D603" s="13" t="s">
        <v>1604</v>
      </c>
      <c r="E603" s="4" t="s">
        <v>1606</v>
      </c>
      <c r="F603" s="4" t="s">
        <v>1605</v>
      </c>
      <c r="G603" s="4" t="s">
        <v>54</v>
      </c>
      <c r="H603" s="4">
        <v>254</v>
      </c>
      <c r="I603" s="5">
        <f t="shared" si="54"/>
        <v>198.33693697492441</v>
      </c>
      <c r="J603" s="4">
        <v>2234</v>
      </c>
      <c r="K603" s="5">
        <f t="shared" si="55"/>
        <v>1206.0726893639396</v>
      </c>
      <c r="L603" s="5">
        <v>0</v>
      </c>
      <c r="M603" s="5">
        <v>0</v>
      </c>
      <c r="N603" s="4">
        <v>0</v>
      </c>
      <c r="O603" s="5">
        <f t="shared" si="56"/>
        <v>0</v>
      </c>
      <c r="P603" s="4">
        <v>0</v>
      </c>
      <c r="Q603" s="4">
        <v>0</v>
      </c>
      <c r="R603" s="4">
        <v>0</v>
      </c>
      <c r="S603" s="5">
        <f t="shared" si="57"/>
        <v>0</v>
      </c>
      <c r="T603" s="5">
        <f t="shared" si="58"/>
        <v>6.0809282817371653</v>
      </c>
      <c r="U603" s="5">
        <f t="shared" si="59"/>
        <v>0</v>
      </c>
      <c r="V603" s="4">
        <v>-1</v>
      </c>
      <c r="W603" s="4">
        <v>3</v>
      </c>
      <c r="X603" s="4">
        <v>-3</v>
      </c>
      <c r="Y603" s="4">
        <v>3</v>
      </c>
      <c r="Z603" s="4">
        <v>0</v>
      </c>
      <c r="AA603" s="4">
        <v>0</v>
      </c>
      <c r="AB603" s="4">
        <v>0</v>
      </c>
      <c r="AC603" s="4">
        <v>0</v>
      </c>
      <c r="AD603" s="4"/>
      <c r="AE603" s="54">
        <v>-2.3481845855712891E-3</v>
      </c>
      <c r="AF603" s="54">
        <v>-0.90298235416412354</v>
      </c>
    </row>
    <row r="604" spans="1:32" x14ac:dyDescent="0.2">
      <c r="A604" s="53" t="s">
        <v>2243</v>
      </c>
      <c r="B604" s="53" t="s">
        <v>2531</v>
      </c>
      <c r="C604" s="54" t="s">
        <v>3438</v>
      </c>
      <c r="D604" s="13" t="s">
        <v>2016</v>
      </c>
      <c r="E604" s="4" t="s">
        <v>2018</v>
      </c>
      <c r="F604" s="4" t="s">
        <v>2017</v>
      </c>
      <c r="G604" s="4" t="s">
        <v>365</v>
      </c>
      <c r="H604" s="4">
        <v>1199</v>
      </c>
      <c r="I604" s="5">
        <f t="shared" si="54"/>
        <v>936.24404501155277</v>
      </c>
      <c r="J604" s="4">
        <v>3155</v>
      </c>
      <c r="K604" s="5">
        <f t="shared" si="55"/>
        <v>1703.2942412458506</v>
      </c>
      <c r="L604" s="5">
        <v>0</v>
      </c>
      <c r="M604" s="5">
        <v>0</v>
      </c>
      <c r="N604" s="4">
        <v>0</v>
      </c>
      <c r="O604" s="5">
        <f t="shared" si="56"/>
        <v>0</v>
      </c>
      <c r="P604" s="4">
        <v>0</v>
      </c>
      <c r="Q604" s="4">
        <v>0</v>
      </c>
      <c r="R604" s="4">
        <v>0</v>
      </c>
      <c r="S604" s="5">
        <f t="shared" si="57"/>
        <v>0</v>
      </c>
      <c r="T604" s="5">
        <f t="shared" si="58"/>
        <v>1.8192844593471704</v>
      </c>
      <c r="U604" s="5">
        <f t="shared" si="59"/>
        <v>0</v>
      </c>
      <c r="V604" s="4">
        <v>5</v>
      </c>
      <c r="W604" s="4">
        <v>-21</v>
      </c>
      <c r="X604" s="4">
        <v>5</v>
      </c>
      <c r="Y604" s="4">
        <v>-21</v>
      </c>
      <c r="Z604" s="4">
        <v>0</v>
      </c>
      <c r="AA604" s="4">
        <v>0</v>
      </c>
      <c r="AB604" s="4">
        <v>0</v>
      </c>
      <c r="AC604" s="4">
        <v>0</v>
      </c>
      <c r="AD604" s="4"/>
      <c r="AE604" s="54">
        <v>2.6557445526123051E-3</v>
      </c>
      <c r="AF604" s="54">
        <v>0.92720794677734375</v>
      </c>
    </row>
    <row r="605" spans="1:32" x14ac:dyDescent="0.2">
      <c r="A605" s="53" t="s">
        <v>2243</v>
      </c>
      <c r="B605" s="53" t="s">
        <v>2533</v>
      </c>
      <c r="C605" s="54" t="s">
        <v>3440</v>
      </c>
      <c r="D605" s="13" t="s">
        <v>1524</v>
      </c>
      <c r="E605" s="4" t="s">
        <v>1526</v>
      </c>
      <c r="F605" s="4" t="s">
        <v>1525</v>
      </c>
      <c r="G605" s="4" t="s">
        <v>365</v>
      </c>
      <c r="H605" s="4">
        <v>801</v>
      </c>
      <c r="I605" s="5">
        <f t="shared" si="54"/>
        <v>625.46412014533257</v>
      </c>
      <c r="J605" s="4">
        <v>3061</v>
      </c>
      <c r="K605" s="5">
        <f t="shared" si="55"/>
        <v>1652.546330413169</v>
      </c>
      <c r="L605" s="5">
        <v>0</v>
      </c>
      <c r="M605" s="5">
        <v>0</v>
      </c>
      <c r="N605" s="4">
        <v>0</v>
      </c>
      <c r="O605" s="5">
        <f t="shared" si="56"/>
        <v>0</v>
      </c>
      <c r="P605" s="4">
        <v>0</v>
      </c>
      <c r="Q605" s="4">
        <v>0</v>
      </c>
      <c r="R605" s="4">
        <v>0</v>
      </c>
      <c r="S605" s="5">
        <f t="shared" si="57"/>
        <v>0</v>
      </c>
      <c r="T605" s="5">
        <f t="shared" si="58"/>
        <v>2.6421121167257109</v>
      </c>
      <c r="U605" s="5">
        <f t="shared" si="59"/>
        <v>0</v>
      </c>
      <c r="V605" s="4">
        <v>-36</v>
      </c>
      <c r="W605" s="4">
        <v>-16</v>
      </c>
      <c r="X605" s="4">
        <v>26</v>
      </c>
      <c r="Y605" s="4">
        <v>3</v>
      </c>
      <c r="Z605" s="4">
        <v>0</v>
      </c>
      <c r="AA605" s="4">
        <v>0</v>
      </c>
      <c r="AB605" s="4">
        <v>0</v>
      </c>
      <c r="AC605" s="4">
        <v>0</v>
      </c>
      <c r="AD605" s="19"/>
      <c r="AE605" s="54">
        <v>2.933502197265625E-3</v>
      </c>
      <c r="AF605" s="54">
        <v>0.94176918268203735</v>
      </c>
    </row>
    <row r="606" spans="1:32" x14ac:dyDescent="0.2">
      <c r="A606" s="53" t="s">
        <v>2243</v>
      </c>
      <c r="B606" s="53" t="s">
        <v>2534</v>
      </c>
      <c r="C606" s="54" t="s">
        <v>3441</v>
      </c>
      <c r="D606" s="13" t="s">
        <v>1646</v>
      </c>
      <c r="E606" s="4" t="s">
        <v>1648</v>
      </c>
      <c r="F606" s="4" t="s">
        <v>1647</v>
      </c>
      <c r="G606" s="4" t="s">
        <v>365</v>
      </c>
      <c r="H606" s="4">
        <v>222</v>
      </c>
      <c r="I606" s="5">
        <f t="shared" si="54"/>
        <v>173.34960633241425</v>
      </c>
      <c r="J606" s="4">
        <v>1098</v>
      </c>
      <c r="K606" s="5">
        <f t="shared" si="55"/>
        <v>592.77878823706624</v>
      </c>
      <c r="L606" s="5">
        <v>0</v>
      </c>
      <c r="M606" s="5">
        <v>0</v>
      </c>
      <c r="N606" s="4">
        <v>0</v>
      </c>
      <c r="O606" s="5">
        <f t="shared" si="56"/>
        <v>0</v>
      </c>
      <c r="P606" s="4">
        <v>0</v>
      </c>
      <c r="Q606" s="4">
        <v>0</v>
      </c>
      <c r="R606" s="4">
        <v>0</v>
      </c>
      <c r="S606" s="5">
        <f t="shared" si="57"/>
        <v>0</v>
      </c>
      <c r="T606" s="5">
        <f t="shared" si="58"/>
        <v>3.4195565872838318</v>
      </c>
      <c r="U606" s="5">
        <f t="shared" si="59"/>
        <v>0</v>
      </c>
      <c r="V606" s="4">
        <v>-1</v>
      </c>
      <c r="W606" s="4">
        <v>47</v>
      </c>
      <c r="X606" s="4">
        <v>14</v>
      </c>
      <c r="Y606" s="4">
        <v>-16</v>
      </c>
      <c r="Z606" s="4">
        <v>0</v>
      </c>
      <c r="AA606" s="4">
        <v>0</v>
      </c>
      <c r="AB606" s="4">
        <v>0</v>
      </c>
      <c r="AC606" s="4">
        <v>0</v>
      </c>
      <c r="AD606" s="4"/>
      <c r="AE606" s="54">
        <v>-8.2196950912475586E-2</v>
      </c>
      <c r="AF606" s="54">
        <v>-0.99992549419403076</v>
      </c>
    </row>
    <row r="607" spans="1:32" x14ac:dyDescent="0.2">
      <c r="A607" s="53" t="s">
        <v>2243</v>
      </c>
      <c r="B607" s="53" t="s">
        <v>2535</v>
      </c>
      <c r="C607" s="54" t="s">
        <v>3442</v>
      </c>
      <c r="D607" s="13" t="s">
        <v>1527</v>
      </c>
      <c r="E607" s="4" t="s">
        <v>1529</v>
      </c>
      <c r="F607" s="4" t="s">
        <v>1528</v>
      </c>
      <c r="G607" s="4" t="s">
        <v>164</v>
      </c>
      <c r="H607" s="4">
        <v>279</v>
      </c>
      <c r="I607" s="5">
        <f t="shared" si="54"/>
        <v>217.85828903938551</v>
      </c>
      <c r="J607" s="4">
        <v>3869</v>
      </c>
      <c r="K607" s="5">
        <f t="shared" si="55"/>
        <v>2088.7624150174943</v>
      </c>
      <c r="L607" s="5">
        <v>0</v>
      </c>
      <c r="M607" s="5">
        <v>0</v>
      </c>
      <c r="N607" s="4">
        <v>0</v>
      </c>
      <c r="O607" s="5">
        <f t="shared" si="56"/>
        <v>0</v>
      </c>
      <c r="P607" s="4">
        <v>0</v>
      </c>
      <c r="Q607" s="4">
        <v>0</v>
      </c>
      <c r="R607" s="4">
        <v>0</v>
      </c>
      <c r="S607" s="5">
        <f t="shared" si="57"/>
        <v>0</v>
      </c>
      <c r="T607" s="5">
        <f t="shared" si="58"/>
        <v>9.587711462472182</v>
      </c>
      <c r="U607" s="5">
        <f t="shared" si="59"/>
        <v>0</v>
      </c>
      <c r="V607" s="4">
        <v>-2</v>
      </c>
      <c r="W607" s="4">
        <v>26</v>
      </c>
      <c r="X607" s="4">
        <v>-1</v>
      </c>
      <c r="Y607" s="4">
        <v>22</v>
      </c>
      <c r="Z607" s="4">
        <v>0</v>
      </c>
      <c r="AA607" s="4">
        <v>0</v>
      </c>
      <c r="AB607" s="4">
        <v>0</v>
      </c>
      <c r="AC607" s="4">
        <v>0</v>
      </c>
      <c r="AD607" s="4"/>
      <c r="AE607" s="54">
        <v>2.1567344665527339E-3</v>
      </c>
      <c r="AF607" s="54">
        <v>0.88937473297119141</v>
      </c>
    </row>
    <row r="608" spans="1:32" x14ac:dyDescent="0.2">
      <c r="A608" s="53" t="s">
        <v>2243</v>
      </c>
      <c r="B608" s="53" t="s">
        <v>2530</v>
      </c>
      <c r="C608" s="54" t="s">
        <v>3444</v>
      </c>
      <c r="D608" s="13" t="s">
        <v>1085</v>
      </c>
      <c r="E608" s="4" t="s">
        <v>1087</v>
      </c>
      <c r="F608" s="4" t="s">
        <v>1086</v>
      </c>
      <c r="G608" s="4" t="s">
        <v>365</v>
      </c>
      <c r="H608" s="4">
        <v>2136</v>
      </c>
      <c r="I608" s="5">
        <f t="shared" si="54"/>
        <v>1667.9043203875535</v>
      </c>
      <c r="J608" s="4">
        <v>573</v>
      </c>
      <c r="K608" s="5">
        <f t="shared" si="55"/>
        <v>309.34630752262194</v>
      </c>
      <c r="L608" s="5">
        <v>0</v>
      </c>
      <c r="M608" s="5">
        <v>0</v>
      </c>
      <c r="N608" s="4">
        <v>0</v>
      </c>
      <c r="O608" s="5">
        <f t="shared" si="56"/>
        <v>0</v>
      </c>
      <c r="P608" s="4">
        <v>0</v>
      </c>
      <c r="Q608" s="4">
        <v>0</v>
      </c>
      <c r="R608" s="4">
        <v>0</v>
      </c>
      <c r="S608" s="5">
        <f t="shared" si="57"/>
        <v>0</v>
      </c>
      <c r="T608" s="5">
        <f t="shared" si="58"/>
        <v>0.18547005589070142</v>
      </c>
      <c r="U608" s="5">
        <f t="shared" si="59"/>
        <v>0</v>
      </c>
      <c r="V608" s="4">
        <v>-4</v>
      </c>
      <c r="W608" s="4">
        <v>32</v>
      </c>
      <c r="X608" s="4">
        <v>32</v>
      </c>
      <c r="Y608" s="4">
        <v>28</v>
      </c>
      <c r="Z608" s="4">
        <v>0</v>
      </c>
      <c r="AA608" s="4">
        <v>0</v>
      </c>
      <c r="AB608" s="4">
        <v>0</v>
      </c>
      <c r="AC608" s="4">
        <v>0</v>
      </c>
      <c r="AD608" s="4"/>
      <c r="AE608" s="54">
        <v>2.5167465209960942E-3</v>
      </c>
      <c r="AF608" s="54">
        <v>0.91866904497146606</v>
      </c>
    </row>
    <row r="609" spans="1:32" x14ac:dyDescent="0.2">
      <c r="A609" s="53" t="s">
        <v>2243</v>
      </c>
      <c r="B609" s="53" t="s">
        <v>2529</v>
      </c>
      <c r="C609" s="54" t="s">
        <v>3445</v>
      </c>
      <c r="D609" s="13" t="s">
        <v>1082</v>
      </c>
      <c r="E609" s="4" t="s">
        <v>1084</v>
      </c>
      <c r="F609" s="4" t="s">
        <v>1083</v>
      </c>
      <c r="G609" s="4" t="s">
        <v>365</v>
      </c>
      <c r="H609" s="4">
        <v>4221</v>
      </c>
      <c r="I609" s="5">
        <f t="shared" si="54"/>
        <v>3295.9850825636067</v>
      </c>
      <c r="J609" s="4">
        <v>4670</v>
      </c>
      <c r="K609" s="5">
        <f t="shared" si="55"/>
        <v>2521.1993998789608</v>
      </c>
      <c r="L609" s="5">
        <v>0</v>
      </c>
      <c r="M609" s="5">
        <v>0</v>
      </c>
      <c r="N609" s="4">
        <v>0</v>
      </c>
      <c r="O609" s="5">
        <f t="shared" si="56"/>
        <v>0</v>
      </c>
      <c r="P609" s="4">
        <v>0</v>
      </c>
      <c r="Q609" s="4">
        <v>0</v>
      </c>
      <c r="R609" s="4">
        <v>0</v>
      </c>
      <c r="S609" s="5">
        <f t="shared" si="57"/>
        <v>0</v>
      </c>
      <c r="T609" s="5">
        <f t="shared" si="58"/>
        <v>0.76493046440549417</v>
      </c>
      <c r="U609" s="5">
        <f t="shared" si="59"/>
        <v>0</v>
      </c>
      <c r="V609" s="4">
        <v>48</v>
      </c>
      <c r="W609" s="4">
        <v>-8</v>
      </c>
      <c r="X609" s="4">
        <v>-20</v>
      </c>
      <c r="Y609" s="4">
        <v>49</v>
      </c>
      <c r="Z609" s="4">
        <v>0</v>
      </c>
      <c r="AA609" s="4">
        <v>0</v>
      </c>
      <c r="AB609" s="4">
        <v>0</v>
      </c>
      <c r="AC609" s="4">
        <v>0</v>
      </c>
      <c r="AD609" s="4"/>
      <c r="AE609" s="54">
        <v>1.063346862792969E-3</v>
      </c>
      <c r="AF609" s="54">
        <v>0.70477992296218872</v>
      </c>
    </row>
    <row r="610" spans="1:32" x14ac:dyDescent="0.2">
      <c r="A610" s="53" t="s">
        <v>2243</v>
      </c>
      <c r="B610" s="53" t="s">
        <v>2528</v>
      </c>
      <c r="C610" s="54" t="s">
        <v>3446</v>
      </c>
      <c r="D610" s="13" t="s">
        <v>1301</v>
      </c>
      <c r="E610" s="4" t="s">
        <v>1303</v>
      </c>
      <c r="F610" s="4" t="s">
        <v>1302</v>
      </c>
      <c r="G610" s="4" t="s">
        <v>365</v>
      </c>
      <c r="H610" s="4">
        <v>1816</v>
      </c>
      <c r="I610" s="5">
        <f t="shared" si="54"/>
        <v>1418.0310139624519</v>
      </c>
      <c r="J610" s="4">
        <v>2631</v>
      </c>
      <c r="K610" s="5">
        <f t="shared" si="55"/>
        <v>1420.4016319232433</v>
      </c>
      <c r="L610" s="5">
        <v>0</v>
      </c>
      <c r="M610" s="5">
        <v>0</v>
      </c>
      <c r="N610" s="4">
        <v>0</v>
      </c>
      <c r="O610" s="5">
        <f t="shared" si="56"/>
        <v>0</v>
      </c>
      <c r="P610" s="4">
        <v>0</v>
      </c>
      <c r="Q610" s="4">
        <v>0</v>
      </c>
      <c r="R610" s="4">
        <v>0</v>
      </c>
      <c r="S610" s="5">
        <f t="shared" si="57"/>
        <v>0</v>
      </c>
      <c r="T610" s="5">
        <f t="shared" si="58"/>
        <v>1.001671767357307</v>
      </c>
      <c r="U610" s="5">
        <f t="shared" si="59"/>
        <v>0</v>
      </c>
      <c r="V610" s="4">
        <v>19</v>
      </c>
      <c r="W610" s="4">
        <v>-15</v>
      </c>
      <c r="X610" s="4">
        <v>-50</v>
      </c>
      <c r="Y610" s="4">
        <v>13</v>
      </c>
      <c r="Z610" s="4">
        <v>0</v>
      </c>
      <c r="AA610" s="4">
        <v>0</v>
      </c>
      <c r="AB610" s="4">
        <v>0</v>
      </c>
      <c r="AC610" s="4">
        <v>0</v>
      </c>
      <c r="AD610" s="4"/>
      <c r="AE610" s="54">
        <v>-2.8588771820068359E-3</v>
      </c>
      <c r="AF610" s="54">
        <v>-0.93631863594055176</v>
      </c>
    </row>
    <row r="611" spans="1:32" x14ac:dyDescent="0.2">
      <c r="A611" s="53" t="s">
        <v>2243</v>
      </c>
      <c r="B611" s="53" t="s">
        <v>2518</v>
      </c>
      <c r="C611" s="54" t="s">
        <v>3447</v>
      </c>
      <c r="D611" s="13" t="s">
        <v>563</v>
      </c>
      <c r="E611" s="4" t="s">
        <v>565</v>
      </c>
      <c r="F611" s="4" t="s">
        <v>564</v>
      </c>
      <c r="G611" s="4" t="s">
        <v>365</v>
      </c>
      <c r="H611" s="4">
        <v>46</v>
      </c>
      <c r="I611" s="5">
        <f t="shared" si="54"/>
        <v>35.919287798608366</v>
      </c>
      <c r="J611" s="4">
        <v>1484</v>
      </c>
      <c r="K611" s="5">
        <f t="shared" si="55"/>
        <v>801.16914548616228</v>
      </c>
      <c r="L611" s="5">
        <v>0</v>
      </c>
      <c r="M611" s="5">
        <v>0</v>
      </c>
      <c r="N611" s="4">
        <v>0</v>
      </c>
      <c r="O611" s="5">
        <f t="shared" si="56"/>
        <v>0</v>
      </c>
      <c r="P611" s="4">
        <v>0</v>
      </c>
      <c r="Q611" s="4">
        <v>0</v>
      </c>
      <c r="R611" s="4">
        <v>0</v>
      </c>
      <c r="S611" s="5">
        <f t="shared" si="57"/>
        <v>0</v>
      </c>
      <c r="T611" s="5">
        <f t="shared" si="58"/>
        <v>22.304705760819743</v>
      </c>
      <c r="U611" s="5">
        <f t="shared" si="59"/>
        <v>0</v>
      </c>
      <c r="V611" s="4" t="s">
        <v>21</v>
      </c>
      <c r="W611" s="4" t="s">
        <v>21</v>
      </c>
      <c r="X611" s="4" t="s">
        <v>21</v>
      </c>
      <c r="Y611" s="4" t="s">
        <v>21</v>
      </c>
      <c r="Z611" s="10">
        <v>0</v>
      </c>
      <c r="AA611" s="10">
        <v>0</v>
      </c>
      <c r="AB611" s="10">
        <v>0</v>
      </c>
      <c r="AC611" s="10">
        <v>0</v>
      </c>
      <c r="AD611" s="4"/>
      <c r="AE611" s="54">
        <v>-1.244544982910156E-3</v>
      </c>
      <c r="AF611" s="54">
        <v>-0.74315381050109863</v>
      </c>
    </row>
    <row r="612" spans="1:32" x14ac:dyDescent="0.2">
      <c r="A612" s="53" t="s">
        <v>2243</v>
      </c>
      <c r="B612" s="53" t="s">
        <v>2247</v>
      </c>
      <c r="C612" s="54" t="s">
        <v>3448</v>
      </c>
      <c r="D612" s="13" t="s">
        <v>1917</v>
      </c>
      <c r="E612" s="4" t="s">
        <v>1919</v>
      </c>
      <c r="F612" s="4" t="s">
        <v>1918</v>
      </c>
      <c r="G612" s="4" t="s">
        <v>427</v>
      </c>
      <c r="H612" s="4">
        <v>1333</v>
      </c>
      <c r="I612" s="5">
        <f t="shared" si="54"/>
        <v>1040.878492077064</v>
      </c>
      <c r="J612" s="4">
        <v>1308</v>
      </c>
      <c r="K612" s="5">
        <f t="shared" si="55"/>
        <v>706.15178052284386</v>
      </c>
      <c r="L612" s="5">
        <v>0</v>
      </c>
      <c r="M612" s="5">
        <v>0</v>
      </c>
      <c r="N612" s="4">
        <v>0</v>
      </c>
      <c r="O612" s="5">
        <f t="shared" si="56"/>
        <v>0</v>
      </c>
      <c r="P612" s="4">
        <v>0</v>
      </c>
      <c r="Q612" s="4">
        <v>0</v>
      </c>
      <c r="R612" s="4">
        <v>0</v>
      </c>
      <c r="S612" s="5">
        <f t="shared" si="57"/>
        <v>0</v>
      </c>
      <c r="T612" s="5">
        <f t="shared" si="58"/>
        <v>0.67841903343945953</v>
      </c>
      <c r="U612" s="5">
        <f t="shared" si="59"/>
        <v>0</v>
      </c>
      <c r="V612" s="4">
        <v>-8</v>
      </c>
      <c r="W612" s="4">
        <v>25</v>
      </c>
      <c r="X612" s="4">
        <v>50</v>
      </c>
      <c r="Y612" s="4">
        <v>-20</v>
      </c>
      <c r="Z612" s="4">
        <v>0</v>
      </c>
      <c r="AA612" s="4">
        <v>0</v>
      </c>
      <c r="AB612" s="4">
        <v>0</v>
      </c>
      <c r="AC612" s="4">
        <v>0</v>
      </c>
      <c r="AD612" s="4"/>
      <c r="AE612" s="54">
        <v>1.9989013671875E-3</v>
      </c>
      <c r="AF612" s="54">
        <v>0.8739849328994751</v>
      </c>
    </row>
    <row r="613" spans="1:32" x14ac:dyDescent="0.2">
      <c r="A613" s="53" t="s">
        <v>2243</v>
      </c>
      <c r="B613" s="53" t="s">
        <v>2253</v>
      </c>
      <c r="C613" s="54" t="s">
        <v>3449</v>
      </c>
      <c r="D613" s="30" t="s">
        <v>834</v>
      </c>
      <c r="E613" s="31" t="s">
        <v>836</v>
      </c>
      <c r="F613" s="31" t="s">
        <v>835</v>
      </c>
      <c r="G613" s="4" t="s">
        <v>164</v>
      </c>
      <c r="H613" s="4">
        <v>1101</v>
      </c>
      <c r="I613" s="5">
        <f t="shared" si="54"/>
        <v>859.72034491886541</v>
      </c>
      <c r="J613" s="4">
        <v>3595</v>
      </c>
      <c r="K613" s="5">
        <f t="shared" si="55"/>
        <v>1940.8376536541466</v>
      </c>
      <c r="L613" s="5">
        <v>0</v>
      </c>
      <c r="M613" s="5">
        <v>0</v>
      </c>
      <c r="N613" s="4">
        <v>0</v>
      </c>
      <c r="O613" s="5">
        <f t="shared" si="56"/>
        <v>0</v>
      </c>
      <c r="P613" s="4">
        <v>0</v>
      </c>
      <c r="Q613" s="4">
        <v>0</v>
      </c>
      <c r="R613" s="4">
        <v>0</v>
      </c>
      <c r="S613" s="5">
        <f t="shared" si="57"/>
        <v>0</v>
      </c>
      <c r="T613" s="5">
        <f t="shared" si="58"/>
        <v>2.2575220711303623</v>
      </c>
      <c r="U613" s="5">
        <f t="shared" si="59"/>
        <v>0</v>
      </c>
      <c r="V613" s="4">
        <v>-30</v>
      </c>
      <c r="W613" s="4">
        <v>47</v>
      </c>
      <c r="X613" s="4">
        <v>1</v>
      </c>
      <c r="Y613" s="4">
        <v>50</v>
      </c>
      <c r="Z613" s="4">
        <v>0</v>
      </c>
      <c r="AA613" s="4">
        <v>0</v>
      </c>
      <c r="AB613" s="4">
        <v>0</v>
      </c>
      <c r="AC613" s="4">
        <v>0</v>
      </c>
      <c r="AD613" s="4"/>
      <c r="AE613" s="54">
        <v>-3.1851053237915039E-2</v>
      </c>
      <c r="AF613" s="54">
        <v>-0.99965047836303711</v>
      </c>
    </row>
    <row r="614" spans="1:32" x14ac:dyDescent="0.2">
      <c r="A614" s="53" t="s">
        <v>2243</v>
      </c>
      <c r="B614" s="53" t="s">
        <v>2244</v>
      </c>
      <c r="C614" s="54" t="s">
        <v>3450</v>
      </c>
      <c r="D614" s="20" t="s">
        <v>1728</v>
      </c>
      <c r="E614" s="9" t="s">
        <v>1730</v>
      </c>
      <c r="F614" s="4" t="s">
        <v>1729</v>
      </c>
      <c r="G614" s="4" t="s">
        <v>423</v>
      </c>
      <c r="H614" s="4">
        <v>1330</v>
      </c>
      <c r="I614" s="5">
        <f t="shared" si="54"/>
        <v>1038.5359298293288</v>
      </c>
      <c r="J614" s="4">
        <v>3119</v>
      </c>
      <c r="K614" s="5">
        <f t="shared" si="55"/>
        <v>1683.8588711397172</v>
      </c>
      <c r="L614" s="5">
        <v>0</v>
      </c>
      <c r="M614" s="5">
        <v>0</v>
      </c>
      <c r="N614" s="4">
        <v>0</v>
      </c>
      <c r="O614" s="5">
        <f t="shared" si="56"/>
        <v>0</v>
      </c>
      <c r="P614" s="4">
        <v>0</v>
      </c>
      <c r="Q614" s="4">
        <v>0</v>
      </c>
      <c r="R614" s="4">
        <v>0</v>
      </c>
      <c r="S614" s="5">
        <f t="shared" si="57"/>
        <v>0</v>
      </c>
      <c r="T614" s="5">
        <f t="shared" si="58"/>
        <v>1.6213775785460207</v>
      </c>
      <c r="U614" s="5">
        <f t="shared" si="59"/>
        <v>0</v>
      </c>
      <c r="V614" s="4">
        <v>-3</v>
      </c>
      <c r="W614" s="4">
        <v>14</v>
      </c>
      <c r="X614" s="4">
        <v>-2</v>
      </c>
      <c r="Y614" s="4">
        <v>-49</v>
      </c>
      <c r="Z614" s="4">
        <v>0</v>
      </c>
      <c r="AA614" s="4">
        <v>0</v>
      </c>
      <c r="AB614" s="4">
        <v>0</v>
      </c>
      <c r="AC614" s="4">
        <v>0</v>
      </c>
      <c r="AD614" s="4"/>
      <c r="AE614" s="54">
        <v>1.5809535980224609E-3</v>
      </c>
      <c r="AF614" s="54">
        <v>0.81510752439498901</v>
      </c>
    </row>
    <row r="615" spans="1:32" x14ac:dyDescent="0.2">
      <c r="A615" s="53" t="s">
        <v>2243</v>
      </c>
      <c r="B615" s="53" t="s">
        <v>2246</v>
      </c>
      <c r="C615" s="54" t="s">
        <v>3452</v>
      </c>
      <c r="D615" s="8" t="s">
        <v>822</v>
      </c>
      <c r="E615" s="9" t="s">
        <v>824</v>
      </c>
      <c r="F615" s="4" t="s">
        <v>823</v>
      </c>
      <c r="G615" s="4" t="s">
        <v>427</v>
      </c>
      <c r="H615" s="4">
        <v>534</v>
      </c>
      <c r="I615" s="5">
        <f t="shared" si="54"/>
        <v>416.97608009688838</v>
      </c>
      <c r="J615" s="4">
        <v>5047</v>
      </c>
      <c r="K615" s="5">
        <f t="shared" si="55"/>
        <v>2724.7309146015236</v>
      </c>
      <c r="L615" s="5">
        <v>0</v>
      </c>
      <c r="M615" s="5">
        <v>0</v>
      </c>
      <c r="N615" s="4">
        <v>0</v>
      </c>
      <c r="O615" s="5">
        <f t="shared" si="56"/>
        <v>0</v>
      </c>
      <c r="P615" s="4">
        <v>0</v>
      </c>
      <c r="Q615" s="4">
        <v>0</v>
      </c>
      <c r="R615" s="4">
        <v>0</v>
      </c>
      <c r="S615" s="5">
        <f t="shared" si="57"/>
        <v>0</v>
      </c>
      <c r="T615" s="5">
        <f t="shared" si="58"/>
        <v>6.5345017248193384</v>
      </c>
      <c r="U615" s="5">
        <f t="shared" si="59"/>
        <v>0</v>
      </c>
      <c r="V615" s="4">
        <v>2</v>
      </c>
      <c r="W615" s="4">
        <v>18</v>
      </c>
      <c r="X615" s="4">
        <v>2</v>
      </c>
      <c r="Y615" s="4">
        <v>-45</v>
      </c>
      <c r="Z615" s="4">
        <v>0</v>
      </c>
      <c r="AA615" s="4">
        <v>0</v>
      </c>
      <c r="AB615" s="4">
        <v>0</v>
      </c>
      <c r="AC615" s="4">
        <v>0</v>
      </c>
      <c r="AD615" s="4"/>
      <c r="AE615" s="54">
        <v>-3.042221069335938E-4</v>
      </c>
      <c r="AF615" s="54">
        <v>-0.37327557802200317</v>
      </c>
    </row>
    <row r="616" spans="1:32" x14ac:dyDescent="0.2">
      <c r="A616" s="53" t="s">
        <v>2243</v>
      </c>
      <c r="B616" s="53" t="s">
        <v>2248</v>
      </c>
      <c r="C616" s="54" t="s">
        <v>3453</v>
      </c>
      <c r="D616" s="13" t="s">
        <v>1920</v>
      </c>
      <c r="E616" s="4" t="s">
        <v>1922</v>
      </c>
      <c r="F616" s="4" t="s">
        <v>1921</v>
      </c>
      <c r="G616" s="4" t="s">
        <v>427</v>
      </c>
      <c r="H616" s="4">
        <v>878</v>
      </c>
      <c r="I616" s="5">
        <f t="shared" si="54"/>
        <v>685.58988450387255</v>
      </c>
      <c r="J616" s="4">
        <v>2846</v>
      </c>
      <c r="K616" s="5">
        <f t="shared" si="55"/>
        <v>1536.4739811682061</v>
      </c>
      <c r="L616" s="5">
        <v>0</v>
      </c>
      <c r="M616" s="5">
        <v>0</v>
      </c>
      <c r="N616" s="4">
        <v>0</v>
      </c>
      <c r="O616" s="5">
        <f t="shared" si="56"/>
        <v>0</v>
      </c>
      <c r="P616" s="4">
        <v>0</v>
      </c>
      <c r="Q616" s="4">
        <v>0</v>
      </c>
      <c r="R616" s="4">
        <v>0</v>
      </c>
      <c r="S616" s="5">
        <f t="shared" si="57"/>
        <v>0</v>
      </c>
      <c r="T616" s="5">
        <f t="shared" si="58"/>
        <v>2.2410977989852872</v>
      </c>
      <c r="U616" s="5">
        <f t="shared" si="59"/>
        <v>0</v>
      </c>
      <c r="V616" s="4">
        <v>-6</v>
      </c>
      <c r="W616" s="4">
        <v>-14</v>
      </c>
      <c r="X616" s="4">
        <v>0</v>
      </c>
      <c r="Y616" s="4">
        <v>-6</v>
      </c>
      <c r="Z616" s="4">
        <v>0</v>
      </c>
      <c r="AA616" s="4">
        <v>0</v>
      </c>
      <c r="AB616" s="4">
        <v>0</v>
      </c>
      <c r="AC616" s="4">
        <v>0</v>
      </c>
      <c r="AD616" s="4"/>
      <c r="AE616" s="54">
        <v>5.2391529083251953E-2</v>
      </c>
      <c r="AF616" s="54">
        <v>0.9998818039894104</v>
      </c>
    </row>
    <row r="617" spans="1:32" x14ac:dyDescent="0.2">
      <c r="A617" s="53" t="s">
        <v>2243</v>
      </c>
      <c r="B617" s="53" t="s">
        <v>2250</v>
      </c>
      <c r="C617" s="54" t="s">
        <v>3455</v>
      </c>
      <c r="D617" s="13" t="s">
        <v>828</v>
      </c>
      <c r="E617" s="4" t="s">
        <v>830</v>
      </c>
      <c r="F617" s="4" t="s">
        <v>829</v>
      </c>
      <c r="G617" s="4" t="s">
        <v>427</v>
      </c>
      <c r="H617" s="4">
        <v>3052</v>
      </c>
      <c r="I617" s="5">
        <f t="shared" si="54"/>
        <v>2383.166660029407</v>
      </c>
      <c r="J617" s="4">
        <v>4213</v>
      </c>
      <c r="K617" s="5">
        <f t="shared" si="55"/>
        <v>2274.4781738094352</v>
      </c>
      <c r="L617" s="5">
        <v>0</v>
      </c>
      <c r="M617" s="5">
        <v>0</v>
      </c>
      <c r="N617" s="4">
        <v>0</v>
      </c>
      <c r="O617" s="5">
        <f t="shared" si="56"/>
        <v>0</v>
      </c>
      <c r="P617" s="4">
        <v>0</v>
      </c>
      <c r="Q617" s="4">
        <v>0</v>
      </c>
      <c r="R617" s="4">
        <v>0</v>
      </c>
      <c r="S617" s="5">
        <f t="shared" si="57"/>
        <v>0</v>
      </c>
      <c r="T617" s="5">
        <f t="shared" si="58"/>
        <v>0.95439324993803387</v>
      </c>
      <c r="U617" s="5">
        <f t="shared" si="59"/>
        <v>0</v>
      </c>
      <c r="V617" s="4">
        <v>-49</v>
      </c>
      <c r="W617" s="4">
        <v>-28</v>
      </c>
      <c r="X617" s="4">
        <v>-49</v>
      </c>
      <c r="Y617" s="4">
        <v>-5</v>
      </c>
      <c r="Z617" s="4">
        <v>0</v>
      </c>
      <c r="AA617" s="4">
        <v>0</v>
      </c>
      <c r="AB617" s="4">
        <v>0</v>
      </c>
      <c r="AC617" s="4">
        <v>0</v>
      </c>
      <c r="AD617" s="4"/>
      <c r="AE617" s="54">
        <v>1.385688781738281E-3</v>
      </c>
      <c r="AF617" s="54">
        <v>0.78171879053115845</v>
      </c>
    </row>
    <row r="618" spans="1:32" x14ac:dyDescent="0.2">
      <c r="A618" s="53" t="s">
        <v>2243</v>
      </c>
      <c r="B618" s="53" t="s">
        <v>2251</v>
      </c>
      <c r="C618" s="54" t="s">
        <v>3456</v>
      </c>
      <c r="D618" s="13" t="s">
        <v>831</v>
      </c>
      <c r="E618" s="4" t="s">
        <v>833</v>
      </c>
      <c r="F618" s="4" t="s">
        <v>832</v>
      </c>
      <c r="G618" s="4" t="s">
        <v>34</v>
      </c>
      <c r="H618" s="4">
        <v>5087</v>
      </c>
      <c r="I618" s="5">
        <f t="shared" si="54"/>
        <v>3972.2047180765376</v>
      </c>
      <c r="J618" s="4">
        <v>1485</v>
      </c>
      <c r="K618" s="5">
        <f t="shared" si="55"/>
        <v>801.70901687799926</v>
      </c>
      <c r="L618" s="5">
        <v>0</v>
      </c>
      <c r="M618" s="5">
        <v>0</v>
      </c>
      <c r="N618" s="4">
        <v>0</v>
      </c>
      <c r="O618" s="5">
        <f t="shared" si="56"/>
        <v>0</v>
      </c>
      <c r="P618" s="4">
        <v>0</v>
      </c>
      <c r="Q618" s="4">
        <v>0</v>
      </c>
      <c r="R618" s="4">
        <v>0</v>
      </c>
      <c r="S618" s="5">
        <f t="shared" si="57"/>
        <v>0</v>
      </c>
      <c r="T618" s="5">
        <f t="shared" si="58"/>
        <v>0.20182973280043109</v>
      </c>
      <c r="U618" s="5">
        <f t="shared" si="59"/>
        <v>0</v>
      </c>
      <c r="V618" s="4">
        <v>20</v>
      </c>
      <c r="W618" s="4">
        <v>46</v>
      </c>
      <c r="X618" s="4">
        <v>-28</v>
      </c>
      <c r="Y618" s="4">
        <v>19</v>
      </c>
      <c r="Z618" s="4">
        <v>0</v>
      </c>
      <c r="AA618" s="4">
        <v>0</v>
      </c>
      <c r="AB618" s="4">
        <v>0</v>
      </c>
      <c r="AC618" s="4">
        <v>0</v>
      </c>
      <c r="AD618" s="4"/>
      <c r="AE618" s="54">
        <v>5.4335594177246094E-4</v>
      </c>
      <c r="AF618" s="54">
        <v>0.51187217235565186</v>
      </c>
    </row>
    <row r="619" spans="1:32" x14ac:dyDescent="0.2">
      <c r="A619" s="53" t="s">
        <v>2243</v>
      </c>
      <c r="B619" s="53" t="s">
        <v>2252</v>
      </c>
      <c r="C619" s="54" t="s">
        <v>3457</v>
      </c>
      <c r="D619" s="13" t="s">
        <v>129</v>
      </c>
      <c r="E619" s="4" t="s">
        <v>131</v>
      </c>
      <c r="F619" s="4" t="s">
        <v>130</v>
      </c>
      <c r="G619" s="4" t="s">
        <v>46</v>
      </c>
      <c r="H619" s="4">
        <v>9971</v>
      </c>
      <c r="I619" s="5">
        <f t="shared" si="54"/>
        <v>7785.896057389652</v>
      </c>
      <c r="J619" s="4">
        <v>3408</v>
      </c>
      <c r="K619" s="5">
        <f t="shared" si="55"/>
        <v>1839.8817033806206</v>
      </c>
      <c r="L619" s="5">
        <v>0</v>
      </c>
      <c r="M619" s="5">
        <v>0</v>
      </c>
      <c r="N619" s="4">
        <v>0</v>
      </c>
      <c r="O619" s="5">
        <f t="shared" si="56"/>
        <v>0</v>
      </c>
      <c r="P619" s="4">
        <v>0</v>
      </c>
      <c r="Q619" s="4">
        <v>0</v>
      </c>
      <c r="R619" s="4">
        <v>0</v>
      </c>
      <c r="S619" s="5">
        <f t="shared" si="57"/>
        <v>0</v>
      </c>
      <c r="T619" s="5">
        <f t="shared" si="58"/>
        <v>0.2363095640911331</v>
      </c>
      <c r="U619" s="5">
        <f t="shared" si="59"/>
        <v>0</v>
      </c>
      <c r="V619" s="4">
        <v>-7</v>
      </c>
      <c r="W619" s="4">
        <v>13</v>
      </c>
      <c r="X619" s="4">
        <v>-11</v>
      </c>
      <c r="Y619" s="4">
        <v>13</v>
      </c>
      <c r="Z619" s="4">
        <v>0.05</v>
      </c>
      <c r="AA619" s="4">
        <v>0</v>
      </c>
      <c r="AB619" s="4">
        <v>0</v>
      </c>
      <c r="AC619" s="4">
        <v>0</v>
      </c>
      <c r="AD619" s="4"/>
      <c r="AE619" s="54">
        <v>-2.4003982543945308E-3</v>
      </c>
      <c r="AF619" s="54">
        <v>-0.90715432167053223</v>
      </c>
    </row>
    <row r="620" spans="1:32" x14ac:dyDescent="0.2">
      <c r="A620" s="53" t="s">
        <v>2243</v>
      </c>
      <c r="B620" s="53" t="s">
        <v>2260</v>
      </c>
      <c r="C620" s="54" t="s">
        <v>3458</v>
      </c>
      <c r="D620" s="13" t="s">
        <v>837</v>
      </c>
      <c r="E620" s="4" t="s">
        <v>839</v>
      </c>
      <c r="F620" s="4" t="s">
        <v>838</v>
      </c>
      <c r="G620" s="4" t="s">
        <v>345</v>
      </c>
      <c r="H620" s="4">
        <v>570</v>
      </c>
      <c r="I620" s="5">
        <f t="shared" si="54"/>
        <v>445.08682706971234</v>
      </c>
      <c r="J620" s="4">
        <v>925</v>
      </c>
      <c r="K620" s="5">
        <f t="shared" si="55"/>
        <v>499.38103744925888</v>
      </c>
      <c r="L620" s="5">
        <v>0</v>
      </c>
      <c r="M620" s="5">
        <v>0</v>
      </c>
      <c r="N620" s="4">
        <v>0</v>
      </c>
      <c r="O620" s="5">
        <f t="shared" si="56"/>
        <v>0</v>
      </c>
      <c r="P620" s="4">
        <v>0</v>
      </c>
      <c r="Q620" s="4">
        <v>0</v>
      </c>
      <c r="R620" s="4">
        <v>0</v>
      </c>
      <c r="S620" s="5">
        <f t="shared" si="57"/>
        <v>0</v>
      </c>
      <c r="T620" s="5">
        <f t="shared" si="58"/>
        <v>1.1219856600497471</v>
      </c>
      <c r="U620" s="5">
        <f t="shared" si="59"/>
        <v>0</v>
      </c>
      <c r="V620" s="4">
        <v>-40</v>
      </c>
      <c r="W620" s="4">
        <v>-4</v>
      </c>
      <c r="X620" s="4">
        <v>2</v>
      </c>
      <c r="Y620" s="4">
        <v>-1</v>
      </c>
      <c r="Z620" s="4">
        <v>0</v>
      </c>
      <c r="AA620" s="4">
        <v>0</v>
      </c>
      <c r="AB620" s="4">
        <v>0</v>
      </c>
      <c r="AC620" s="4">
        <v>0</v>
      </c>
      <c r="AD620" s="4"/>
      <c r="AE620" s="54">
        <v>5.9938430786132812E-4</v>
      </c>
      <c r="AF620" s="54">
        <v>0.53695803880691528</v>
      </c>
    </row>
    <row r="621" spans="1:32" x14ac:dyDescent="0.2">
      <c r="A621" s="53" t="s">
        <v>2243</v>
      </c>
      <c r="B621" s="53" t="s">
        <v>2258</v>
      </c>
      <c r="C621" s="54" t="s">
        <v>3460</v>
      </c>
      <c r="D621" s="13" t="s">
        <v>1601</v>
      </c>
      <c r="E621" s="4" t="s">
        <v>1603</v>
      </c>
      <c r="F621" s="4" t="s">
        <v>1602</v>
      </c>
      <c r="G621" s="4" t="s">
        <v>427</v>
      </c>
      <c r="H621" s="4">
        <v>1930</v>
      </c>
      <c r="I621" s="5">
        <f t="shared" si="54"/>
        <v>1507.0483793763942</v>
      </c>
      <c r="J621" s="4">
        <v>3991</v>
      </c>
      <c r="K621" s="5">
        <f t="shared" si="55"/>
        <v>2154.6267248216132</v>
      </c>
      <c r="L621" s="5">
        <v>0</v>
      </c>
      <c r="M621" s="5">
        <v>0</v>
      </c>
      <c r="N621" s="4">
        <v>0</v>
      </c>
      <c r="O621" s="5">
        <f t="shared" si="56"/>
        <v>0</v>
      </c>
      <c r="P621" s="4">
        <v>0</v>
      </c>
      <c r="Q621" s="4">
        <v>0</v>
      </c>
      <c r="R621" s="4">
        <v>0</v>
      </c>
      <c r="S621" s="5">
        <f t="shared" si="57"/>
        <v>0</v>
      </c>
      <c r="T621" s="5">
        <f t="shared" si="58"/>
        <v>1.4296997722881213</v>
      </c>
      <c r="U621" s="5">
        <f t="shared" si="59"/>
        <v>0</v>
      </c>
      <c r="V621" s="4">
        <v>-2</v>
      </c>
      <c r="W621" s="4">
        <v>0</v>
      </c>
      <c r="X621" s="4">
        <v>-9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/>
      <c r="AE621" s="54">
        <v>-3.1948089599609382E-5</v>
      </c>
      <c r="AF621" s="54">
        <v>-0.11485084891319269</v>
      </c>
    </row>
    <row r="622" spans="1:32" x14ac:dyDescent="0.2">
      <c r="A622" s="53" t="s">
        <v>2243</v>
      </c>
      <c r="B622" s="53" t="s">
        <v>2257</v>
      </c>
      <c r="C622" s="54" t="s">
        <v>3461</v>
      </c>
      <c r="D622" s="13" t="s">
        <v>165</v>
      </c>
      <c r="E622" s="4" t="s">
        <v>167</v>
      </c>
      <c r="F622" s="4" t="s">
        <v>166</v>
      </c>
      <c r="G622" s="4" t="s">
        <v>427</v>
      </c>
      <c r="H622" s="4">
        <v>915</v>
      </c>
      <c r="I622" s="5">
        <f t="shared" si="54"/>
        <v>714.48148555927503</v>
      </c>
      <c r="J622" s="4">
        <v>4580</v>
      </c>
      <c r="K622" s="5">
        <f t="shared" si="55"/>
        <v>2472.6109746136276</v>
      </c>
      <c r="L622" s="5">
        <v>0</v>
      </c>
      <c r="M622" s="5">
        <v>0</v>
      </c>
      <c r="N622" s="4">
        <v>0</v>
      </c>
      <c r="O622" s="5">
        <f t="shared" si="56"/>
        <v>0</v>
      </c>
      <c r="P622" s="4">
        <v>0</v>
      </c>
      <c r="Q622" s="4">
        <v>0</v>
      </c>
      <c r="R622" s="4">
        <v>0</v>
      </c>
      <c r="S622" s="5">
        <f t="shared" si="57"/>
        <v>0</v>
      </c>
      <c r="T622" s="5">
        <f t="shared" si="58"/>
        <v>3.4607068546753745</v>
      </c>
      <c r="U622" s="5">
        <f t="shared" si="59"/>
        <v>0</v>
      </c>
      <c r="V622" s="4">
        <v>41</v>
      </c>
      <c r="W622" s="4">
        <v>33</v>
      </c>
      <c r="X622" s="4">
        <v>41</v>
      </c>
      <c r="Y622" s="4">
        <v>33</v>
      </c>
      <c r="Z622" s="4">
        <v>0.01</v>
      </c>
      <c r="AA622" s="4">
        <v>0</v>
      </c>
      <c r="AB622" s="4">
        <v>0</v>
      </c>
      <c r="AC622" s="4">
        <v>0.05</v>
      </c>
      <c r="AD622" s="4"/>
      <c r="AE622" s="54">
        <v>-1.406669616699219E-3</v>
      </c>
      <c r="AF622" s="54">
        <v>-0.78171879053115845</v>
      </c>
    </row>
    <row r="623" spans="1:32" x14ac:dyDescent="0.2">
      <c r="A623" s="53" t="s">
        <v>2243</v>
      </c>
      <c r="B623" s="53" t="s">
        <v>2255</v>
      </c>
      <c r="C623" s="54" t="s">
        <v>3462</v>
      </c>
      <c r="D623" s="13" t="s">
        <v>1923</v>
      </c>
      <c r="E623" s="4" t="s">
        <v>1925</v>
      </c>
      <c r="F623" s="4" t="s">
        <v>1924</v>
      </c>
      <c r="G623" s="4" t="s">
        <v>427</v>
      </c>
      <c r="H623" s="4">
        <v>335</v>
      </c>
      <c r="I623" s="5">
        <f t="shared" si="54"/>
        <v>261.58611766377828</v>
      </c>
      <c r="J623" s="4">
        <v>2830</v>
      </c>
      <c r="K623" s="5">
        <f t="shared" si="55"/>
        <v>1527.8360388988135</v>
      </c>
      <c r="L623" s="5">
        <v>0</v>
      </c>
      <c r="M623" s="5">
        <v>0</v>
      </c>
      <c r="N623" s="4">
        <v>0</v>
      </c>
      <c r="O623" s="5">
        <f t="shared" si="56"/>
        <v>0</v>
      </c>
      <c r="P623" s="4">
        <v>0</v>
      </c>
      <c r="Q623" s="4">
        <v>0</v>
      </c>
      <c r="R623" s="4">
        <v>0</v>
      </c>
      <c r="S623" s="5">
        <f t="shared" si="57"/>
        <v>0</v>
      </c>
      <c r="T623" s="5">
        <f t="shared" si="58"/>
        <v>5.8406617772529152</v>
      </c>
      <c r="U623" s="5">
        <f t="shared" si="59"/>
        <v>0</v>
      </c>
      <c r="V623" s="4">
        <v>-35</v>
      </c>
      <c r="W623" s="4">
        <v>18</v>
      </c>
      <c r="X623" s="4">
        <v>11</v>
      </c>
      <c r="Y623" s="4">
        <v>-9</v>
      </c>
      <c r="Z623" s="4">
        <v>0</v>
      </c>
      <c r="AA623" s="4">
        <v>0</v>
      </c>
      <c r="AB623" s="4">
        <v>0</v>
      </c>
      <c r="AC623" s="4">
        <v>0</v>
      </c>
      <c r="AD623" s="4"/>
      <c r="AE623" s="54">
        <v>-1.107454299926758E-3</v>
      </c>
      <c r="AF623" s="54">
        <v>-0.71053868532180786</v>
      </c>
    </row>
    <row r="624" spans="1:32" x14ac:dyDescent="0.2">
      <c r="A624" s="53" t="s">
        <v>2243</v>
      </c>
      <c r="B624" s="53" t="s">
        <v>2254</v>
      </c>
      <c r="C624" s="54" t="s">
        <v>3463</v>
      </c>
      <c r="D624" s="13" t="s">
        <v>746</v>
      </c>
      <c r="E624" s="4" t="s">
        <v>748</v>
      </c>
      <c r="F624" s="4" t="s">
        <v>747</v>
      </c>
      <c r="G624" s="4" t="s">
        <v>427</v>
      </c>
      <c r="H624" s="4">
        <v>1182</v>
      </c>
      <c r="I624" s="5">
        <f t="shared" si="54"/>
        <v>922.96952560771922</v>
      </c>
      <c r="J624" s="4">
        <v>1984</v>
      </c>
      <c r="K624" s="5">
        <f t="shared" si="55"/>
        <v>1071.1048414046807</v>
      </c>
      <c r="L624" s="5">
        <v>0</v>
      </c>
      <c r="M624" s="5">
        <v>0</v>
      </c>
      <c r="N624" s="4">
        <v>0</v>
      </c>
      <c r="O624" s="5">
        <f t="shared" si="56"/>
        <v>0</v>
      </c>
      <c r="P624" s="4">
        <v>0</v>
      </c>
      <c r="Q624" s="4">
        <v>0</v>
      </c>
      <c r="R624" s="4">
        <v>0</v>
      </c>
      <c r="S624" s="5">
        <f t="shared" si="57"/>
        <v>0</v>
      </c>
      <c r="T624" s="5">
        <f t="shared" si="58"/>
        <v>1.1604985990186658</v>
      </c>
      <c r="U624" s="5">
        <f t="shared" si="59"/>
        <v>0</v>
      </c>
      <c r="V624" s="4">
        <v>-2</v>
      </c>
      <c r="W624" s="4">
        <v>21</v>
      </c>
      <c r="X624" s="4">
        <v>-44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/>
      <c r="AE624" s="54">
        <v>8.5496902465820312E-4</v>
      </c>
      <c r="AF624" s="54">
        <v>0.64188623428344727</v>
      </c>
    </row>
    <row r="625" spans="1:32" x14ac:dyDescent="0.2">
      <c r="A625" s="53" t="s">
        <v>2243</v>
      </c>
      <c r="B625" s="53" t="s">
        <v>2261</v>
      </c>
      <c r="C625" s="54" t="s">
        <v>3464</v>
      </c>
      <c r="D625" s="13" t="s">
        <v>1731</v>
      </c>
      <c r="E625" s="4" t="s">
        <v>1733</v>
      </c>
      <c r="F625" s="4" t="s">
        <v>1732</v>
      </c>
      <c r="G625" s="4" t="s">
        <v>345</v>
      </c>
      <c r="H625" s="4">
        <v>622</v>
      </c>
      <c r="I625" s="5">
        <f t="shared" si="54"/>
        <v>485.69123936379134</v>
      </c>
      <c r="J625" s="4">
        <v>526</v>
      </c>
      <c r="K625" s="5">
        <f t="shared" si="55"/>
        <v>283.97235210628128</v>
      </c>
      <c r="L625" s="5">
        <v>0</v>
      </c>
      <c r="M625" s="5">
        <v>0</v>
      </c>
      <c r="N625" s="4">
        <v>0</v>
      </c>
      <c r="O625" s="5">
        <f t="shared" si="56"/>
        <v>0</v>
      </c>
      <c r="P625" s="4">
        <v>0</v>
      </c>
      <c r="Q625" s="4">
        <v>0</v>
      </c>
      <c r="R625" s="4">
        <v>0</v>
      </c>
      <c r="S625" s="5">
        <f t="shared" si="57"/>
        <v>0</v>
      </c>
      <c r="T625" s="5">
        <f t="shared" si="58"/>
        <v>0.58467670217452894</v>
      </c>
      <c r="U625" s="5">
        <f t="shared" si="59"/>
        <v>0</v>
      </c>
      <c r="V625" s="4">
        <v>360</v>
      </c>
      <c r="W625" s="4" t="s">
        <v>21</v>
      </c>
      <c r="X625" s="4" t="s">
        <v>21</v>
      </c>
      <c r="Y625" s="4" t="s">
        <v>21</v>
      </c>
      <c r="Z625" s="4">
        <v>0</v>
      </c>
      <c r="AA625" s="4">
        <v>0</v>
      </c>
      <c r="AB625" s="4">
        <v>0</v>
      </c>
      <c r="AC625" s="4">
        <v>0</v>
      </c>
      <c r="AD625" s="4"/>
      <c r="AE625" s="54">
        <v>-8.6426734924316406E-4</v>
      </c>
      <c r="AF625" s="54">
        <v>-0.63505297899246216</v>
      </c>
    </row>
    <row r="626" spans="1:32" x14ac:dyDescent="0.2">
      <c r="A626" s="53" t="s">
        <v>2243</v>
      </c>
      <c r="B626" s="53" t="s">
        <v>2256</v>
      </c>
      <c r="C626" s="54" t="s">
        <v>3465</v>
      </c>
      <c r="D626" s="13" t="s">
        <v>1598</v>
      </c>
      <c r="E626" s="4" t="s">
        <v>1600</v>
      </c>
      <c r="F626" s="4" t="s">
        <v>1599</v>
      </c>
      <c r="G626" s="4" t="s">
        <v>427</v>
      </c>
      <c r="H626" s="4">
        <v>267</v>
      </c>
      <c r="I626" s="5">
        <f t="shared" si="54"/>
        <v>208.48804004844419</v>
      </c>
      <c r="J626" s="4">
        <v>1047</v>
      </c>
      <c r="K626" s="5">
        <f t="shared" si="55"/>
        <v>565.2453472533773</v>
      </c>
      <c r="L626" s="5">
        <v>0</v>
      </c>
      <c r="M626" s="5">
        <v>1</v>
      </c>
      <c r="N626" s="4">
        <v>0</v>
      </c>
      <c r="O626" s="5">
        <f t="shared" si="56"/>
        <v>0.33333333333333331</v>
      </c>
      <c r="P626" s="4">
        <v>0</v>
      </c>
      <c r="Q626" s="4">
        <v>0</v>
      </c>
      <c r="R626" s="4">
        <v>0</v>
      </c>
      <c r="S626" s="5">
        <f t="shared" si="57"/>
        <v>0</v>
      </c>
      <c r="T626" s="5">
        <f t="shared" si="58"/>
        <v>2.7111643772085783</v>
      </c>
      <c r="U626" s="5">
        <f t="shared" si="59"/>
        <v>0</v>
      </c>
      <c r="V626" s="4">
        <v>12</v>
      </c>
      <c r="W626" s="4">
        <v>38</v>
      </c>
      <c r="X626" s="4">
        <v>-12</v>
      </c>
      <c r="Y626" s="4">
        <v>24</v>
      </c>
      <c r="Z626" s="4">
        <v>0</v>
      </c>
      <c r="AA626" s="4">
        <v>0</v>
      </c>
      <c r="AB626" s="4">
        <v>0</v>
      </c>
      <c r="AC626" s="4">
        <v>0</v>
      </c>
      <c r="AD626" s="4"/>
      <c r="AE626" s="54">
        <v>-1.47247314453125E-3</v>
      </c>
      <c r="AF626" s="54">
        <v>-0.79481875896453857</v>
      </c>
    </row>
    <row r="627" spans="1:32" x14ac:dyDescent="0.2">
      <c r="A627" s="53" t="s">
        <v>2243</v>
      </c>
      <c r="B627" s="53" t="s">
        <v>2265</v>
      </c>
      <c r="C627" s="54" t="s">
        <v>3466</v>
      </c>
      <c r="D627" s="13" t="s">
        <v>497</v>
      </c>
      <c r="E627" s="4" t="s">
        <v>499</v>
      </c>
      <c r="F627" s="4" t="s">
        <v>498</v>
      </c>
      <c r="G627" s="4" t="s">
        <v>345</v>
      </c>
      <c r="H627" s="4">
        <v>1141</v>
      </c>
      <c r="I627" s="5">
        <f t="shared" si="54"/>
        <v>890.95450822200303</v>
      </c>
      <c r="J627" s="4">
        <v>2905</v>
      </c>
      <c r="K627" s="5">
        <f t="shared" si="55"/>
        <v>1568.3263932865914</v>
      </c>
      <c r="L627" s="5">
        <v>0</v>
      </c>
      <c r="M627" s="5">
        <v>0</v>
      </c>
      <c r="N627" s="4">
        <v>0</v>
      </c>
      <c r="O627" s="5">
        <f t="shared" si="56"/>
        <v>0</v>
      </c>
      <c r="P627" s="4">
        <v>0</v>
      </c>
      <c r="Q627" s="4">
        <v>0</v>
      </c>
      <c r="R627" s="4">
        <v>0</v>
      </c>
      <c r="S627" s="5">
        <f t="shared" si="57"/>
        <v>0</v>
      </c>
      <c r="T627" s="5">
        <f t="shared" si="58"/>
        <v>1.7602766233445049</v>
      </c>
      <c r="U627" s="5">
        <f t="shared" si="59"/>
        <v>0</v>
      </c>
      <c r="V627" s="4">
        <v>44</v>
      </c>
      <c r="W627" s="4">
        <v>-10</v>
      </c>
      <c r="X627" s="4">
        <v>-21</v>
      </c>
      <c r="Y627" s="4">
        <v>43</v>
      </c>
      <c r="Z627" s="4">
        <v>0</v>
      </c>
      <c r="AA627" s="4">
        <v>0</v>
      </c>
      <c r="AB627" s="4">
        <v>0</v>
      </c>
      <c r="AC627" s="4">
        <v>0</v>
      </c>
      <c r="AD627" s="4"/>
      <c r="AE627" s="54">
        <v>-1.659631729125977E-3</v>
      </c>
      <c r="AF627" s="54">
        <v>-0.82639890909194946</v>
      </c>
    </row>
    <row r="628" spans="1:32" x14ac:dyDescent="0.2">
      <c r="A628" s="53" t="s">
        <v>2243</v>
      </c>
      <c r="B628" s="53" t="s">
        <v>2266</v>
      </c>
      <c r="C628" s="54" t="s">
        <v>3467</v>
      </c>
      <c r="D628" s="13" t="s">
        <v>846</v>
      </c>
      <c r="E628" s="4" t="s">
        <v>848</v>
      </c>
      <c r="F628" s="4" t="s">
        <v>847</v>
      </c>
      <c r="G628" s="4" t="s">
        <v>345</v>
      </c>
      <c r="H628" s="4">
        <v>4687</v>
      </c>
      <c r="I628" s="5">
        <f t="shared" si="54"/>
        <v>3659.8630850451609</v>
      </c>
      <c r="J628" s="4">
        <v>1891</v>
      </c>
      <c r="K628" s="5">
        <f t="shared" si="55"/>
        <v>1020.8968019638361</v>
      </c>
      <c r="L628" s="5">
        <v>0</v>
      </c>
      <c r="M628" s="5">
        <v>0</v>
      </c>
      <c r="N628" s="4">
        <v>0</v>
      </c>
      <c r="O628" s="5">
        <f t="shared" si="56"/>
        <v>0</v>
      </c>
      <c r="P628" s="4">
        <v>0</v>
      </c>
      <c r="Q628" s="4">
        <v>0</v>
      </c>
      <c r="R628" s="4">
        <v>0</v>
      </c>
      <c r="S628" s="5">
        <f t="shared" si="57"/>
        <v>0</v>
      </c>
      <c r="T628" s="5">
        <f t="shared" si="58"/>
        <v>0.27894398731345948</v>
      </c>
      <c r="U628" s="5">
        <f t="shared" si="59"/>
        <v>0</v>
      </c>
      <c r="V628" s="4">
        <v>-4</v>
      </c>
      <c r="W628" s="4">
        <v>-24</v>
      </c>
      <c r="X628" s="4">
        <v>42</v>
      </c>
      <c r="Y628" s="4">
        <v>37</v>
      </c>
      <c r="Z628" s="4">
        <v>0</v>
      </c>
      <c r="AA628" s="4">
        <v>0</v>
      </c>
      <c r="AB628" s="4">
        <v>0</v>
      </c>
      <c r="AC628" s="4">
        <v>0</v>
      </c>
      <c r="AD628" s="4"/>
      <c r="AE628" s="54">
        <v>-4.7614574432373047E-2</v>
      </c>
      <c r="AF628" s="54">
        <v>-0.99980813264846802</v>
      </c>
    </row>
    <row r="629" spans="1:32" x14ac:dyDescent="0.2">
      <c r="A629" s="53" t="s">
        <v>2243</v>
      </c>
      <c r="B629" s="53" t="s">
        <v>2267</v>
      </c>
      <c r="C629" s="54" t="s">
        <v>3468</v>
      </c>
      <c r="D629" s="13" t="s">
        <v>1734</v>
      </c>
      <c r="E629" s="4" t="s">
        <v>1736</v>
      </c>
      <c r="F629" s="4" t="s">
        <v>1735</v>
      </c>
      <c r="G629" s="4" t="s">
        <v>345</v>
      </c>
      <c r="H629" s="4">
        <v>260</v>
      </c>
      <c r="I629" s="5">
        <f t="shared" si="54"/>
        <v>203.0220614703951</v>
      </c>
      <c r="J629" s="4">
        <v>684</v>
      </c>
      <c r="K629" s="5">
        <f t="shared" si="55"/>
        <v>369.27203201653299</v>
      </c>
      <c r="L629" s="5">
        <v>0</v>
      </c>
      <c r="M629" s="5">
        <v>0</v>
      </c>
      <c r="N629" s="4">
        <v>0</v>
      </c>
      <c r="O629" s="5">
        <f t="shared" si="56"/>
        <v>0</v>
      </c>
      <c r="P629" s="4">
        <v>0</v>
      </c>
      <c r="Q629" s="4">
        <v>0</v>
      </c>
      <c r="R629" s="4">
        <v>0</v>
      </c>
      <c r="S629" s="5">
        <f t="shared" si="57"/>
        <v>0</v>
      </c>
      <c r="T629" s="5">
        <f t="shared" si="58"/>
        <v>1.8188763789613112</v>
      </c>
      <c r="U629" s="5">
        <f t="shared" si="59"/>
        <v>0</v>
      </c>
      <c r="V629" s="4">
        <v>-17</v>
      </c>
      <c r="W629" s="4">
        <v>14</v>
      </c>
      <c r="X629" s="4">
        <v>40</v>
      </c>
      <c r="Y629" s="4">
        <v>-1</v>
      </c>
      <c r="Z629" s="4">
        <v>0</v>
      </c>
      <c r="AA629" s="4">
        <v>0</v>
      </c>
      <c r="AB629" s="4">
        <v>0</v>
      </c>
      <c r="AC629" s="4">
        <v>0</v>
      </c>
      <c r="AD629" s="4"/>
      <c r="AE629" s="54">
        <v>-2.941131591796875E-3</v>
      </c>
      <c r="AF629" s="54">
        <v>-0.94045054912567139</v>
      </c>
    </row>
    <row r="630" spans="1:32" x14ac:dyDescent="0.2">
      <c r="A630" s="53" t="s">
        <v>2243</v>
      </c>
      <c r="B630" s="53" t="s">
        <v>2262</v>
      </c>
      <c r="C630" s="54" t="s">
        <v>3469</v>
      </c>
      <c r="D630" s="13" t="s">
        <v>840</v>
      </c>
      <c r="E630" s="4" t="s">
        <v>842</v>
      </c>
      <c r="F630" s="4" t="s">
        <v>841</v>
      </c>
      <c r="G630" s="4" t="s">
        <v>345</v>
      </c>
      <c r="H630" s="4">
        <v>218</v>
      </c>
      <c r="I630" s="5">
        <f t="shared" si="54"/>
        <v>170.22619000210051</v>
      </c>
      <c r="J630" s="4">
        <v>1809</v>
      </c>
      <c r="K630" s="5">
        <f t="shared" si="55"/>
        <v>976.62734783319922</v>
      </c>
      <c r="L630" s="5">
        <v>0</v>
      </c>
      <c r="M630" s="5">
        <v>0</v>
      </c>
      <c r="N630" s="4">
        <v>0</v>
      </c>
      <c r="O630" s="5">
        <f t="shared" si="56"/>
        <v>0</v>
      </c>
      <c r="P630" s="4">
        <v>0</v>
      </c>
      <c r="Q630" s="4">
        <v>0</v>
      </c>
      <c r="R630" s="4">
        <v>0</v>
      </c>
      <c r="S630" s="5">
        <f t="shared" si="57"/>
        <v>0</v>
      </c>
      <c r="T630" s="5">
        <f t="shared" si="58"/>
        <v>5.7372331943818287</v>
      </c>
      <c r="U630" s="5">
        <f t="shared" si="59"/>
        <v>0</v>
      </c>
      <c r="V630" s="4">
        <v>-2</v>
      </c>
      <c r="W630" s="4">
        <v>-11</v>
      </c>
      <c r="X630" s="4">
        <v>-2</v>
      </c>
      <c r="Y630" s="4">
        <v>48</v>
      </c>
      <c r="Z630" s="4">
        <v>0</v>
      </c>
      <c r="AA630" s="4">
        <v>0</v>
      </c>
      <c r="AB630" s="4">
        <v>0</v>
      </c>
      <c r="AC630" s="4">
        <v>0</v>
      </c>
      <c r="AD630" s="4"/>
      <c r="AE630" s="54">
        <v>1.346349716186523E-3</v>
      </c>
      <c r="AF630" s="54">
        <v>0.77258259057998657</v>
      </c>
    </row>
    <row r="631" spans="1:32" x14ac:dyDescent="0.2">
      <c r="A631" s="53" t="s">
        <v>2243</v>
      </c>
      <c r="B631" s="53" t="s">
        <v>2263</v>
      </c>
      <c r="C631" s="54" t="s">
        <v>3470</v>
      </c>
      <c r="D631" s="13" t="s">
        <v>843</v>
      </c>
      <c r="E631" s="4" t="s">
        <v>845</v>
      </c>
      <c r="F631" s="4" t="s">
        <v>844</v>
      </c>
      <c r="G631" s="17" t="s">
        <v>345</v>
      </c>
      <c r="H631" s="4">
        <v>4245</v>
      </c>
      <c r="I631" s="5">
        <f t="shared" si="54"/>
        <v>3314.7255805454888</v>
      </c>
      <c r="J631" s="4">
        <v>2824</v>
      </c>
      <c r="K631" s="5">
        <f t="shared" si="55"/>
        <v>1524.5968105477912</v>
      </c>
      <c r="L631" s="5">
        <v>0</v>
      </c>
      <c r="M631" s="5">
        <v>0</v>
      </c>
      <c r="N631" s="4">
        <v>0</v>
      </c>
      <c r="O631" s="5">
        <f t="shared" si="56"/>
        <v>0</v>
      </c>
      <c r="P631" s="4">
        <v>0</v>
      </c>
      <c r="Q631" s="4">
        <v>0</v>
      </c>
      <c r="R631" s="4">
        <v>0</v>
      </c>
      <c r="S631" s="5">
        <f t="shared" si="57"/>
        <v>0</v>
      </c>
      <c r="T631" s="5">
        <f t="shared" si="58"/>
        <v>0.45994661503680057</v>
      </c>
      <c r="U631" s="5">
        <f t="shared" si="59"/>
        <v>0</v>
      </c>
      <c r="V631" s="4">
        <v>18</v>
      </c>
      <c r="W631" s="4">
        <v>8</v>
      </c>
      <c r="X631" s="4">
        <v>-10</v>
      </c>
      <c r="Y631" s="4">
        <v>22</v>
      </c>
      <c r="Z631" s="4">
        <v>0</v>
      </c>
      <c r="AA631" s="4">
        <v>0</v>
      </c>
      <c r="AB631" s="4">
        <v>0</v>
      </c>
      <c r="AC631" s="4">
        <v>0</v>
      </c>
      <c r="AD631" s="4"/>
      <c r="AE631" s="54">
        <v>6.3014030456542969E-4</v>
      </c>
      <c r="AF631" s="54">
        <v>0.55317401885986328</v>
      </c>
    </row>
    <row r="632" spans="1:32" x14ac:dyDescent="0.2">
      <c r="A632" s="53" t="s">
        <v>2243</v>
      </c>
      <c r="B632" s="53" t="s">
        <v>2264</v>
      </c>
      <c r="C632" s="54" t="s">
        <v>3471</v>
      </c>
      <c r="D632" s="13" t="s">
        <v>749</v>
      </c>
      <c r="E632" s="4" t="s">
        <v>751</v>
      </c>
      <c r="F632" s="4" t="s">
        <v>750</v>
      </c>
      <c r="G632" s="4" t="s">
        <v>345</v>
      </c>
      <c r="H632" s="4">
        <v>3233</v>
      </c>
      <c r="I632" s="5">
        <f t="shared" si="54"/>
        <v>2524.5012489761052</v>
      </c>
      <c r="J632" s="4">
        <v>669</v>
      </c>
      <c r="K632" s="5">
        <f t="shared" si="55"/>
        <v>361.17396113897752</v>
      </c>
      <c r="L632" s="5">
        <v>0</v>
      </c>
      <c r="M632" s="5">
        <v>0</v>
      </c>
      <c r="N632" s="4">
        <v>0</v>
      </c>
      <c r="O632" s="5">
        <f t="shared" si="56"/>
        <v>0</v>
      </c>
      <c r="P632" s="4">
        <v>0</v>
      </c>
      <c r="Q632" s="4">
        <v>0</v>
      </c>
      <c r="R632" s="4">
        <v>0</v>
      </c>
      <c r="S632" s="5">
        <f t="shared" si="57"/>
        <v>0</v>
      </c>
      <c r="T632" s="5">
        <f t="shared" si="58"/>
        <v>0.14306745195133636</v>
      </c>
      <c r="U632" s="5">
        <f t="shared" si="59"/>
        <v>0</v>
      </c>
      <c r="V632" s="4">
        <v>-4</v>
      </c>
      <c r="W632" s="4">
        <v>2</v>
      </c>
      <c r="X632" s="4">
        <v>46</v>
      </c>
      <c r="Y632" s="4">
        <v>-35</v>
      </c>
      <c r="Z632" s="4">
        <v>0</v>
      </c>
      <c r="AA632" s="4">
        <v>0</v>
      </c>
      <c r="AB632" s="4">
        <v>0</v>
      </c>
      <c r="AC632" s="4">
        <v>0</v>
      </c>
      <c r="AD632" s="4"/>
      <c r="AE632" s="54">
        <v>-1.9996166229248051E-3</v>
      </c>
      <c r="AF632" s="54">
        <v>-0.87123310565948486</v>
      </c>
    </row>
    <row r="633" spans="1:32" x14ac:dyDescent="0.2">
      <c r="A633" s="53" t="s">
        <v>2243</v>
      </c>
      <c r="B633" s="53" t="s">
        <v>2268</v>
      </c>
      <c r="C633" s="54" t="s">
        <v>3472</v>
      </c>
      <c r="D633" s="8" t="s">
        <v>849</v>
      </c>
      <c r="E633" s="9" t="s">
        <v>851</v>
      </c>
      <c r="F633" s="4" t="s">
        <v>850</v>
      </c>
      <c r="G633" s="4" t="s">
        <v>54</v>
      </c>
      <c r="H633" s="4">
        <v>1481</v>
      </c>
      <c r="I633" s="5">
        <f t="shared" si="54"/>
        <v>1156.4448962986735</v>
      </c>
      <c r="J633" s="4">
        <v>2518</v>
      </c>
      <c r="K633" s="5">
        <f t="shared" si="55"/>
        <v>1359.396164645658</v>
      </c>
      <c r="L633" s="5">
        <v>0</v>
      </c>
      <c r="M633" s="5">
        <v>0</v>
      </c>
      <c r="N633" s="4">
        <v>0</v>
      </c>
      <c r="O633" s="5">
        <f t="shared" si="56"/>
        <v>0</v>
      </c>
      <c r="P633" s="4">
        <v>0</v>
      </c>
      <c r="Q633" s="4">
        <v>0</v>
      </c>
      <c r="R633" s="4">
        <v>0</v>
      </c>
      <c r="S633" s="5">
        <f t="shared" si="57"/>
        <v>0</v>
      </c>
      <c r="T633" s="5">
        <f t="shared" si="58"/>
        <v>1.1754958398766358</v>
      </c>
      <c r="U633" s="5">
        <f t="shared" si="59"/>
        <v>0</v>
      </c>
      <c r="V633" s="4">
        <v>41</v>
      </c>
      <c r="W633" s="4">
        <v>31</v>
      </c>
      <c r="X633" s="4">
        <v>-50</v>
      </c>
      <c r="Y633" s="4">
        <v>41</v>
      </c>
      <c r="Z633" s="4">
        <v>0</v>
      </c>
      <c r="AA633" s="4">
        <v>0</v>
      </c>
      <c r="AB633" s="4">
        <v>0</v>
      </c>
      <c r="AC633" s="4">
        <v>0</v>
      </c>
      <c r="AD633" s="4"/>
      <c r="AE633" s="54">
        <v>6.8449974060058594E-4</v>
      </c>
      <c r="AF633" s="54">
        <v>0.57673150300979614</v>
      </c>
    </row>
    <row r="634" spans="1:32" x14ac:dyDescent="0.2">
      <c r="A634" s="53" t="s">
        <v>2181</v>
      </c>
      <c r="B634" s="53" t="s">
        <v>2180</v>
      </c>
      <c r="C634" s="54" t="s">
        <v>3474</v>
      </c>
      <c r="D634" s="13" t="s">
        <v>1437</v>
      </c>
      <c r="E634" s="4" t="s">
        <v>1439</v>
      </c>
      <c r="F634" s="4" t="s">
        <v>1438</v>
      </c>
      <c r="G634" s="4" t="s">
        <v>282</v>
      </c>
      <c r="H634" s="4">
        <v>328</v>
      </c>
      <c r="I634" s="5">
        <f t="shared" si="54"/>
        <v>256.12013908572919</v>
      </c>
      <c r="J634" s="4">
        <v>811</v>
      </c>
      <c r="K634" s="5">
        <f t="shared" si="55"/>
        <v>437.83569877983666</v>
      </c>
      <c r="L634" s="5">
        <v>0</v>
      </c>
      <c r="M634" s="5">
        <v>0</v>
      </c>
      <c r="N634" s="4">
        <v>0</v>
      </c>
      <c r="O634" s="5">
        <f t="shared" si="56"/>
        <v>0</v>
      </c>
      <c r="P634" s="4">
        <v>0</v>
      </c>
      <c r="Q634" s="4">
        <v>0</v>
      </c>
      <c r="R634" s="4">
        <v>0</v>
      </c>
      <c r="S634" s="5">
        <f t="shared" si="57"/>
        <v>0</v>
      </c>
      <c r="T634" s="5">
        <f t="shared" si="58"/>
        <v>1.7094934445326191</v>
      </c>
      <c r="U634" s="5">
        <f t="shared" si="59"/>
        <v>0</v>
      </c>
      <c r="V634" s="4">
        <v>3</v>
      </c>
      <c r="W634" s="4">
        <v>-29</v>
      </c>
      <c r="X634" s="4">
        <v>2</v>
      </c>
      <c r="Y634" s="4">
        <v>-29</v>
      </c>
      <c r="Z634" s="4">
        <v>0</v>
      </c>
      <c r="AA634" s="4">
        <v>0</v>
      </c>
      <c r="AB634" s="4">
        <v>0</v>
      </c>
      <c r="AC634" s="4">
        <v>0.01</v>
      </c>
      <c r="AD634" s="4"/>
      <c r="AE634" s="54">
        <v>-6.4373016357421883E-6</v>
      </c>
      <c r="AF634" s="54">
        <v>-6.91056028008461E-2</v>
      </c>
    </row>
    <row r="635" spans="1:32" x14ac:dyDescent="0.2">
      <c r="A635" s="53" t="s">
        <v>2787</v>
      </c>
      <c r="B635" s="53" t="s">
        <v>2786</v>
      </c>
      <c r="C635" s="54" t="s">
        <v>3475</v>
      </c>
      <c r="D635" s="13" t="s">
        <v>1088</v>
      </c>
      <c r="E635" s="4" t="s">
        <v>1090</v>
      </c>
      <c r="F635" s="4" t="s">
        <v>1089</v>
      </c>
      <c r="G635" s="4" t="s">
        <v>107</v>
      </c>
      <c r="H635" s="4">
        <v>1530</v>
      </c>
      <c r="I635" s="5">
        <f t="shared" si="54"/>
        <v>1194.7067463450173</v>
      </c>
      <c r="J635" s="4">
        <v>3179</v>
      </c>
      <c r="K635" s="5">
        <f t="shared" si="55"/>
        <v>1716.2511546499393</v>
      </c>
      <c r="L635" s="5">
        <v>0</v>
      </c>
      <c r="M635" s="5">
        <v>0</v>
      </c>
      <c r="N635" s="4">
        <v>0</v>
      </c>
      <c r="O635" s="5">
        <f t="shared" si="56"/>
        <v>0</v>
      </c>
      <c r="P635" s="4">
        <v>0</v>
      </c>
      <c r="Q635" s="4">
        <v>0</v>
      </c>
      <c r="R635" s="4">
        <v>0</v>
      </c>
      <c r="S635" s="5">
        <f t="shared" si="57"/>
        <v>0</v>
      </c>
      <c r="T635" s="5">
        <f t="shared" si="58"/>
        <v>1.436545964020451</v>
      </c>
      <c r="U635" s="5">
        <f t="shared" si="59"/>
        <v>0</v>
      </c>
      <c r="V635" s="4" t="s">
        <v>21</v>
      </c>
      <c r="W635" s="4" t="s">
        <v>21</v>
      </c>
      <c r="X635" s="4" t="s">
        <v>21</v>
      </c>
      <c r="Y635" s="4" t="s">
        <v>21</v>
      </c>
      <c r="Z635" s="4">
        <v>0</v>
      </c>
      <c r="AA635" s="4">
        <v>0</v>
      </c>
      <c r="AB635" s="4">
        <v>0</v>
      </c>
      <c r="AC635" s="4">
        <v>0</v>
      </c>
      <c r="AD635" s="4"/>
      <c r="AE635" s="54">
        <v>-5.4308772087097168E-4</v>
      </c>
      <c r="AF635" s="54">
        <v>-0.55317401885986328</v>
      </c>
    </row>
    <row r="636" spans="1:32" x14ac:dyDescent="0.2">
      <c r="A636" s="53" t="s">
        <v>2787</v>
      </c>
      <c r="B636" s="53" t="s">
        <v>2790</v>
      </c>
      <c r="C636" s="54" t="s">
        <v>3476</v>
      </c>
      <c r="D636" s="13" t="s">
        <v>1091</v>
      </c>
      <c r="E636" s="4" t="s">
        <v>1093</v>
      </c>
      <c r="F636" s="4" t="s">
        <v>1092</v>
      </c>
      <c r="G636" s="4" t="s">
        <v>107</v>
      </c>
      <c r="H636" s="4">
        <v>3500</v>
      </c>
      <c r="I636" s="5">
        <f t="shared" si="54"/>
        <v>2732.9892890245496</v>
      </c>
      <c r="J636" s="4">
        <v>882</v>
      </c>
      <c r="K636" s="5">
        <f t="shared" si="55"/>
        <v>476.16656760026626</v>
      </c>
      <c r="L636" s="5">
        <v>0</v>
      </c>
      <c r="M636" s="5">
        <v>0</v>
      </c>
      <c r="N636" s="4">
        <v>0</v>
      </c>
      <c r="O636" s="5">
        <f t="shared" si="56"/>
        <v>0</v>
      </c>
      <c r="P636" s="4">
        <v>0</v>
      </c>
      <c r="Q636" s="4">
        <v>0</v>
      </c>
      <c r="R636" s="4">
        <v>0</v>
      </c>
      <c r="S636" s="5">
        <f t="shared" si="57"/>
        <v>0</v>
      </c>
      <c r="T636" s="5">
        <f t="shared" si="58"/>
        <v>0.17422921103734665</v>
      </c>
      <c r="U636" s="5">
        <f t="shared" si="59"/>
        <v>0</v>
      </c>
      <c r="V636" s="4" t="s">
        <v>21</v>
      </c>
      <c r="W636" s="4" t="s">
        <v>21</v>
      </c>
      <c r="X636" s="4">
        <v>271</v>
      </c>
      <c r="Y636" s="4" t="s">
        <v>21</v>
      </c>
      <c r="Z636" s="4">
        <v>0</v>
      </c>
      <c r="AA636" s="4">
        <v>0</v>
      </c>
      <c r="AB636" s="4">
        <v>0</v>
      </c>
      <c r="AC636" s="4">
        <v>0</v>
      </c>
      <c r="AD636" s="4"/>
      <c r="AE636" s="54">
        <v>-4.0546059608459473E-4</v>
      </c>
      <c r="AF636" s="54">
        <v>-0.48588192462921143</v>
      </c>
    </row>
    <row r="637" spans="1:32" x14ac:dyDescent="0.2">
      <c r="A637" s="53" t="s">
        <v>2787</v>
      </c>
      <c r="B637" s="53" t="s">
        <v>2788</v>
      </c>
      <c r="C637" s="54" t="s">
        <v>3478</v>
      </c>
      <c r="D637" s="32" t="s">
        <v>115</v>
      </c>
      <c r="E637" s="4" t="s">
        <v>117</v>
      </c>
      <c r="F637" s="4" t="s">
        <v>116</v>
      </c>
      <c r="G637" s="4" t="s">
        <v>107</v>
      </c>
      <c r="H637" s="4">
        <v>3274</v>
      </c>
      <c r="I637" s="5">
        <f t="shared" si="54"/>
        <v>2556.5162663618212</v>
      </c>
      <c r="J637" s="4">
        <v>905</v>
      </c>
      <c r="K637" s="5">
        <f t="shared" si="55"/>
        <v>488.58360961251816</v>
      </c>
      <c r="L637" s="5">
        <v>0</v>
      </c>
      <c r="M637" s="5">
        <v>0</v>
      </c>
      <c r="N637" s="4">
        <v>0</v>
      </c>
      <c r="O637" s="5">
        <f t="shared" si="56"/>
        <v>0</v>
      </c>
      <c r="P637" s="4">
        <v>0</v>
      </c>
      <c r="Q637" s="4">
        <v>0</v>
      </c>
      <c r="R637" s="4">
        <v>0</v>
      </c>
      <c r="S637" s="5">
        <f t="shared" si="57"/>
        <v>0</v>
      </c>
      <c r="T637" s="5">
        <f t="shared" si="58"/>
        <v>0.19111304553044037</v>
      </c>
      <c r="U637" s="5">
        <f t="shared" si="59"/>
        <v>0</v>
      </c>
      <c r="V637" s="4">
        <v>1</v>
      </c>
      <c r="W637" s="4">
        <v>17</v>
      </c>
      <c r="X637" s="4" t="s">
        <v>21</v>
      </c>
      <c r="Y637" s="4">
        <v>160</v>
      </c>
      <c r="Z637" s="19">
        <v>0.6</v>
      </c>
      <c r="AA637" s="4">
        <v>0.16</v>
      </c>
      <c r="AB637" s="4">
        <v>0</v>
      </c>
      <c r="AC637" s="4">
        <v>0.01</v>
      </c>
      <c r="AD637" s="19"/>
      <c r="AE637" s="54">
        <v>-1.0865688323974609E-2</v>
      </c>
      <c r="AF637" s="54">
        <v>-0.99863725900650024</v>
      </c>
    </row>
    <row r="638" spans="1:32" x14ac:dyDescent="0.2">
      <c r="A638" s="53" t="s">
        <v>2787</v>
      </c>
      <c r="B638" s="53" t="s">
        <v>2799</v>
      </c>
      <c r="C638" s="54" t="s">
        <v>3479</v>
      </c>
      <c r="D638" s="13" t="s">
        <v>1109</v>
      </c>
      <c r="E638" s="4" t="s">
        <v>1111</v>
      </c>
      <c r="F638" s="4" t="s">
        <v>1110</v>
      </c>
      <c r="G638" s="4" t="s">
        <v>132</v>
      </c>
      <c r="H638" s="4">
        <v>1068</v>
      </c>
      <c r="I638" s="5">
        <f t="shared" si="54"/>
        <v>833.95216019377676</v>
      </c>
      <c r="J638" s="4">
        <v>2094</v>
      </c>
      <c r="K638" s="5">
        <f t="shared" si="55"/>
        <v>1130.4906945067546</v>
      </c>
      <c r="L638" s="5">
        <v>0</v>
      </c>
      <c r="M638" s="5">
        <v>0</v>
      </c>
      <c r="N638" s="4">
        <v>0</v>
      </c>
      <c r="O638" s="5">
        <f t="shared" si="56"/>
        <v>0</v>
      </c>
      <c r="P638" s="4">
        <v>0</v>
      </c>
      <c r="Q638" s="4">
        <v>0</v>
      </c>
      <c r="R638" s="4">
        <v>0</v>
      </c>
      <c r="S638" s="5">
        <f t="shared" si="57"/>
        <v>0</v>
      </c>
      <c r="T638" s="5">
        <f t="shared" si="58"/>
        <v>1.3555821886042891</v>
      </c>
      <c r="U638" s="5">
        <f t="shared" si="59"/>
        <v>0</v>
      </c>
      <c r="V638" s="4">
        <v>-46</v>
      </c>
      <c r="W638" s="4">
        <v>-1</v>
      </c>
      <c r="X638" s="4">
        <v>34</v>
      </c>
      <c r="Y638" s="4">
        <v>-1</v>
      </c>
      <c r="Z638" s="4">
        <v>0</v>
      </c>
      <c r="AA638" s="4">
        <v>0</v>
      </c>
      <c r="AB638" s="4">
        <v>0</v>
      </c>
      <c r="AC638" s="4">
        <v>0</v>
      </c>
      <c r="AD638" s="4"/>
      <c r="AE638" s="54">
        <v>-2.2089481353759771E-4</v>
      </c>
      <c r="AF638" s="54">
        <v>-0.38316118717193598</v>
      </c>
    </row>
    <row r="639" spans="1:32" x14ac:dyDescent="0.2">
      <c r="A639" s="53" t="s">
        <v>2787</v>
      </c>
      <c r="B639" s="53" t="s">
        <v>2800</v>
      </c>
      <c r="C639" s="54" t="s">
        <v>3480</v>
      </c>
      <c r="D639" s="13" t="s">
        <v>1112</v>
      </c>
      <c r="E639" s="4" t="s">
        <v>1114</v>
      </c>
      <c r="F639" s="4" t="s">
        <v>1113</v>
      </c>
      <c r="G639" s="4" t="s">
        <v>132</v>
      </c>
      <c r="H639" s="4">
        <v>2322</v>
      </c>
      <c r="I639" s="5">
        <f t="shared" si="54"/>
        <v>1813.1431797471437</v>
      </c>
      <c r="J639" s="4">
        <v>1697</v>
      </c>
      <c r="K639" s="5">
        <f t="shared" si="55"/>
        <v>916.16175194745108</v>
      </c>
      <c r="L639" s="5">
        <v>0</v>
      </c>
      <c r="M639" s="5">
        <v>0</v>
      </c>
      <c r="N639" s="4">
        <v>0</v>
      </c>
      <c r="O639" s="5">
        <f t="shared" si="56"/>
        <v>0</v>
      </c>
      <c r="P639" s="4">
        <v>0</v>
      </c>
      <c r="Q639" s="4">
        <v>0</v>
      </c>
      <c r="R639" s="4">
        <v>0</v>
      </c>
      <c r="S639" s="5">
        <f t="shared" si="57"/>
        <v>0</v>
      </c>
      <c r="T639" s="5">
        <f t="shared" si="58"/>
        <v>0.50528924697233046</v>
      </c>
      <c r="U639" s="5">
        <f t="shared" si="59"/>
        <v>0</v>
      </c>
      <c r="V639" s="4">
        <v>2</v>
      </c>
      <c r="W639" s="4">
        <v>-13</v>
      </c>
      <c r="X639" s="4">
        <v>32</v>
      </c>
      <c r="Y639" s="4">
        <v>47</v>
      </c>
      <c r="Z639" s="4">
        <v>0</v>
      </c>
      <c r="AA639" s="4">
        <v>0</v>
      </c>
      <c r="AB639" s="4">
        <v>0</v>
      </c>
      <c r="AC639" s="4">
        <v>0</v>
      </c>
      <c r="AD639" s="4"/>
      <c r="AE639" s="54">
        <v>7.8541040420532227E-4</v>
      </c>
      <c r="AF639" s="54">
        <v>0.64861905574798584</v>
      </c>
    </row>
    <row r="640" spans="1:32" x14ac:dyDescent="0.2">
      <c r="A640" s="53" t="s">
        <v>2787</v>
      </c>
      <c r="B640" s="53" t="s">
        <v>2801</v>
      </c>
      <c r="C640" s="54" t="s">
        <v>3481</v>
      </c>
      <c r="D640" s="13" t="s">
        <v>1115</v>
      </c>
      <c r="E640" s="4" t="s">
        <v>1117</v>
      </c>
      <c r="F640" s="4" t="s">
        <v>1116</v>
      </c>
      <c r="G640" s="4" t="s">
        <v>132</v>
      </c>
      <c r="H640" s="4">
        <v>2004</v>
      </c>
      <c r="I640" s="5">
        <f t="shared" si="54"/>
        <v>1564.8315814871992</v>
      </c>
      <c r="J640" s="4">
        <v>3867</v>
      </c>
      <c r="K640" s="5">
        <f t="shared" si="55"/>
        <v>2087.6826722338201</v>
      </c>
      <c r="L640" s="5">
        <v>0</v>
      </c>
      <c r="M640" s="5">
        <v>0</v>
      </c>
      <c r="N640" s="4">
        <v>0</v>
      </c>
      <c r="O640" s="5">
        <f t="shared" si="56"/>
        <v>0</v>
      </c>
      <c r="P640" s="4">
        <v>0</v>
      </c>
      <c r="Q640" s="4">
        <v>0</v>
      </c>
      <c r="R640" s="4">
        <v>0</v>
      </c>
      <c r="S640" s="5">
        <f t="shared" si="57"/>
        <v>0</v>
      </c>
      <c r="T640" s="5">
        <f t="shared" si="58"/>
        <v>1.3341261110347151</v>
      </c>
      <c r="U640" s="5">
        <f t="shared" si="59"/>
        <v>0</v>
      </c>
      <c r="V640" s="4">
        <v>-49</v>
      </c>
      <c r="W640" s="4">
        <v>7</v>
      </c>
      <c r="X640" s="4">
        <v>-49</v>
      </c>
      <c r="Y640" s="4">
        <v>9</v>
      </c>
      <c r="Z640" s="4">
        <v>0</v>
      </c>
      <c r="AA640" s="4">
        <v>0</v>
      </c>
      <c r="AB640" s="4">
        <v>0</v>
      </c>
      <c r="AC640" s="4">
        <v>0</v>
      </c>
      <c r="AD640" s="4"/>
      <c r="AE640" s="54">
        <v>6.0471892356872559E-4</v>
      </c>
      <c r="AF640" s="54">
        <v>0.58437919616699219</v>
      </c>
    </row>
    <row r="641" spans="1:32" x14ac:dyDescent="0.2">
      <c r="A641" s="53" t="s">
        <v>2787</v>
      </c>
      <c r="B641" s="53" t="s">
        <v>2802</v>
      </c>
      <c r="C641" s="54" t="s">
        <v>3483</v>
      </c>
      <c r="D641" s="13" t="s">
        <v>1400</v>
      </c>
      <c r="E641" s="4" t="s">
        <v>1402</v>
      </c>
      <c r="F641" s="4" t="s">
        <v>1401</v>
      </c>
      <c r="G641" s="4" t="s">
        <v>132</v>
      </c>
      <c r="H641" s="4">
        <v>964</v>
      </c>
      <c r="I641" s="5">
        <f t="shared" si="54"/>
        <v>752.74333560561877</v>
      </c>
      <c r="J641" s="4">
        <v>924</v>
      </c>
      <c r="K641" s="5">
        <f t="shared" si="55"/>
        <v>498.84116605742179</v>
      </c>
      <c r="L641" s="5">
        <v>0</v>
      </c>
      <c r="M641" s="5">
        <v>0</v>
      </c>
      <c r="N641" s="4">
        <v>0</v>
      </c>
      <c r="O641" s="5">
        <f t="shared" si="56"/>
        <v>0</v>
      </c>
      <c r="P641" s="4">
        <v>0</v>
      </c>
      <c r="Q641" s="4">
        <v>0</v>
      </c>
      <c r="R641" s="4">
        <v>0</v>
      </c>
      <c r="S641" s="5">
        <f t="shared" si="57"/>
        <v>0</v>
      </c>
      <c r="T641" s="5">
        <f t="shared" si="58"/>
        <v>0.66269755235505301</v>
      </c>
      <c r="U641" s="5">
        <f t="shared" si="59"/>
        <v>0</v>
      </c>
      <c r="V641" s="4">
        <v>-11</v>
      </c>
      <c r="W641" s="4">
        <v>-40</v>
      </c>
      <c r="X641" s="4">
        <v>2</v>
      </c>
      <c r="Y641" s="4">
        <v>-4</v>
      </c>
      <c r="Z641" s="4">
        <v>0</v>
      </c>
      <c r="AA641" s="4">
        <v>0</v>
      </c>
      <c r="AB641" s="4">
        <v>0</v>
      </c>
      <c r="AC641" s="4">
        <v>0</v>
      </c>
      <c r="AD641" s="4"/>
      <c r="AE641" s="54">
        <v>2.4726986885070801E-4</v>
      </c>
      <c r="AF641" s="54">
        <v>0.40266996622085571</v>
      </c>
    </row>
    <row r="642" spans="1:32" x14ac:dyDescent="0.2">
      <c r="A642" s="53" t="s">
        <v>2787</v>
      </c>
      <c r="B642" s="53" t="s">
        <v>2791</v>
      </c>
      <c r="C642" s="54" t="s">
        <v>3485</v>
      </c>
      <c r="D642" s="13" t="s">
        <v>1094</v>
      </c>
      <c r="E642" s="4" t="s">
        <v>1096</v>
      </c>
      <c r="F642" s="4" t="s">
        <v>1095</v>
      </c>
      <c r="G642" s="4" t="s">
        <v>107</v>
      </c>
      <c r="H642" s="4">
        <v>2700</v>
      </c>
      <c r="I642" s="5">
        <f t="shared" ref="I642:I705" si="60">H642/H$677*1000000</f>
        <v>2108.306022961795</v>
      </c>
      <c r="J642" s="4">
        <v>1408</v>
      </c>
      <c r="K642" s="5">
        <f t="shared" ref="K642:K705" si="61">J642/J$677*1000000</f>
        <v>760.13891970654754</v>
      </c>
      <c r="L642" s="5">
        <v>0</v>
      </c>
      <c r="M642" s="5">
        <v>0</v>
      </c>
      <c r="N642" s="4">
        <v>0</v>
      </c>
      <c r="O642" s="5">
        <f t="shared" ref="O642:O705" si="62">AVERAGE(L642:N642)</f>
        <v>0</v>
      </c>
      <c r="P642" s="4">
        <v>0</v>
      </c>
      <c r="Q642" s="4">
        <v>0</v>
      </c>
      <c r="R642" s="4">
        <v>0</v>
      </c>
      <c r="S642" s="5">
        <f t="shared" ref="S642:S705" si="63">AVERAGE(P642:R642)</f>
        <v>0</v>
      </c>
      <c r="T642" s="5">
        <f t="shared" ref="T642:T676" si="64">K642/I642</f>
        <v>0.36054486940121128</v>
      </c>
      <c r="U642" s="5">
        <f t="shared" ref="U642:U705" si="65">S642/((O642+1)*T642)</f>
        <v>0</v>
      </c>
      <c r="V642" s="4" t="s">
        <v>21</v>
      </c>
      <c r="W642" s="4">
        <v>166</v>
      </c>
      <c r="X642" s="4" t="s">
        <v>21</v>
      </c>
      <c r="Y642" s="4">
        <v>248</v>
      </c>
      <c r="Z642" s="4">
        <v>0</v>
      </c>
      <c r="AA642" s="4">
        <v>0</v>
      </c>
      <c r="AB642" s="4">
        <v>0</v>
      </c>
      <c r="AC642" s="4">
        <v>0</v>
      </c>
      <c r="AD642" s="4"/>
      <c r="AE642" s="54">
        <v>-2.6077032089233398E-5</v>
      </c>
      <c r="AF642" s="54">
        <v>-0.16011412441730499</v>
      </c>
    </row>
    <row r="643" spans="1:32" x14ac:dyDescent="0.2">
      <c r="A643" s="53" t="s">
        <v>2787</v>
      </c>
      <c r="B643" s="53" t="s">
        <v>2792</v>
      </c>
      <c r="C643" s="54" t="s">
        <v>3486</v>
      </c>
      <c r="D643" s="13" t="s">
        <v>1097</v>
      </c>
      <c r="E643" s="4" t="s">
        <v>1099</v>
      </c>
      <c r="F643" s="4" t="s">
        <v>1098</v>
      </c>
      <c r="G643" s="4" t="s">
        <v>107</v>
      </c>
      <c r="H643" s="4">
        <v>1037</v>
      </c>
      <c r="I643" s="5">
        <f t="shared" si="60"/>
        <v>809.74568363384503</v>
      </c>
      <c r="J643" s="4">
        <v>5135</v>
      </c>
      <c r="K643" s="5">
        <f t="shared" si="61"/>
        <v>2772.2395970831831</v>
      </c>
      <c r="L643" s="5">
        <v>0</v>
      </c>
      <c r="M643" s="5">
        <v>0</v>
      </c>
      <c r="N643" s="4">
        <v>0</v>
      </c>
      <c r="O643" s="5">
        <f t="shared" si="62"/>
        <v>0</v>
      </c>
      <c r="P643" s="4">
        <v>0</v>
      </c>
      <c r="Q643" s="4">
        <v>0</v>
      </c>
      <c r="R643" s="4">
        <v>0</v>
      </c>
      <c r="S643" s="5">
        <f t="shared" si="63"/>
        <v>0</v>
      </c>
      <c r="T643" s="5">
        <f t="shared" si="64"/>
        <v>3.4235929293779956</v>
      </c>
      <c r="U643" s="5">
        <f t="shared" si="65"/>
        <v>0</v>
      </c>
      <c r="V643" s="4">
        <v>163</v>
      </c>
      <c r="W643" s="4" t="s">
        <v>21</v>
      </c>
      <c r="X643" s="4">
        <v>245</v>
      </c>
      <c r="Y643" s="4" t="s">
        <v>21</v>
      </c>
      <c r="Z643" s="4">
        <v>0</v>
      </c>
      <c r="AA643" s="4">
        <v>0</v>
      </c>
      <c r="AB643" s="4">
        <v>0</v>
      </c>
      <c r="AC643" s="4">
        <v>0</v>
      </c>
      <c r="AD643" s="4"/>
      <c r="AE643" s="54">
        <v>-1.8915534019470209E-4</v>
      </c>
      <c r="AF643" s="54">
        <v>-0.35324940085411072</v>
      </c>
    </row>
    <row r="644" spans="1:32" x14ac:dyDescent="0.2">
      <c r="A644" s="53" t="s">
        <v>2787</v>
      </c>
      <c r="B644" s="53" t="s">
        <v>2793</v>
      </c>
      <c r="C644" s="54" t="s">
        <v>3487</v>
      </c>
      <c r="D644" s="13" t="s">
        <v>491</v>
      </c>
      <c r="E644" s="4" t="s">
        <v>493</v>
      </c>
      <c r="F644" s="4" t="s">
        <v>492</v>
      </c>
      <c r="G644" s="4" t="s">
        <v>107</v>
      </c>
      <c r="H644" s="4">
        <v>1113</v>
      </c>
      <c r="I644" s="5">
        <f t="shared" si="60"/>
        <v>869.09059390980667</v>
      </c>
      <c r="J644" s="4">
        <v>4069</v>
      </c>
      <c r="K644" s="5">
        <f t="shared" si="61"/>
        <v>2196.7366933849021</v>
      </c>
      <c r="L644" s="5">
        <v>0</v>
      </c>
      <c r="M644" s="5">
        <v>0</v>
      </c>
      <c r="N644" s="4">
        <v>0</v>
      </c>
      <c r="O644" s="5">
        <f t="shared" si="62"/>
        <v>0</v>
      </c>
      <c r="P644" s="4">
        <v>0</v>
      </c>
      <c r="Q644" s="4">
        <v>0</v>
      </c>
      <c r="R644" s="4">
        <v>0</v>
      </c>
      <c r="S644" s="5">
        <f t="shared" si="63"/>
        <v>0</v>
      </c>
      <c r="T644" s="5">
        <f t="shared" si="64"/>
        <v>2.5276268190895612</v>
      </c>
      <c r="U644" s="5">
        <f t="shared" si="65"/>
        <v>0</v>
      </c>
      <c r="V644" s="4">
        <v>-3</v>
      </c>
      <c r="W644" s="4">
        <v>26</v>
      </c>
      <c r="X644" s="4">
        <v>-48</v>
      </c>
      <c r="Y644" s="4">
        <v>-4</v>
      </c>
      <c r="Z644" s="4">
        <v>0</v>
      </c>
      <c r="AA644" s="4">
        <v>0</v>
      </c>
      <c r="AB644" s="4">
        <v>0</v>
      </c>
      <c r="AC644" s="4">
        <v>0</v>
      </c>
      <c r="AD644" s="4"/>
      <c r="AE644" s="54">
        <v>8.3549320697784424E-3</v>
      </c>
      <c r="AF644" s="54">
        <v>0.99768441915512085</v>
      </c>
    </row>
    <row r="645" spans="1:32" x14ac:dyDescent="0.2">
      <c r="A645" s="53" t="s">
        <v>2787</v>
      </c>
      <c r="B645" s="53" t="s">
        <v>2794</v>
      </c>
      <c r="C645" s="54" t="s">
        <v>3488</v>
      </c>
      <c r="D645" s="13" t="s">
        <v>1394</v>
      </c>
      <c r="E645" s="4" t="s">
        <v>1396</v>
      </c>
      <c r="F645" s="4" t="s">
        <v>1395</v>
      </c>
      <c r="G645" s="4" t="s">
        <v>1852</v>
      </c>
      <c r="H645" s="4">
        <v>1203</v>
      </c>
      <c r="I645" s="5">
        <f t="shared" si="60"/>
        <v>939.36746134186649</v>
      </c>
      <c r="J645" s="4">
        <v>2445</v>
      </c>
      <c r="K645" s="5">
        <f t="shared" si="61"/>
        <v>1319.9855530415546</v>
      </c>
      <c r="L645" s="5">
        <v>0</v>
      </c>
      <c r="M645" s="5">
        <v>1</v>
      </c>
      <c r="N645" s="4">
        <v>0</v>
      </c>
      <c r="O645" s="5">
        <f t="shared" si="62"/>
        <v>0.33333333333333331</v>
      </c>
      <c r="P645" s="4">
        <v>0</v>
      </c>
      <c r="Q645" s="4">
        <v>0</v>
      </c>
      <c r="R645" s="4">
        <v>0</v>
      </c>
      <c r="S645" s="5">
        <f t="shared" si="63"/>
        <v>0</v>
      </c>
      <c r="T645" s="5">
        <f t="shared" si="64"/>
        <v>1.4051855183018402</v>
      </c>
      <c r="U645" s="5">
        <f t="shared" si="65"/>
        <v>0</v>
      </c>
      <c r="V645" s="4">
        <v>45</v>
      </c>
      <c r="W645" s="4">
        <v>8</v>
      </c>
      <c r="X645" s="4">
        <v>-1</v>
      </c>
      <c r="Y645" s="4">
        <v>8</v>
      </c>
      <c r="Z645" s="4">
        <v>0</v>
      </c>
      <c r="AA645" s="4">
        <v>0</v>
      </c>
      <c r="AB645" s="4">
        <v>0</v>
      </c>
      <c r="AC645" s="4">
        <v>0</v>
      </c>
      <c r="AD645" s="4"/>
      <c r="AE645" s="54">
        <v>-2.175867557525635E-4</v>
      </c>
      <c r="AF645" s="54">
        <v>-0.37327557802200317</v>
      </c>
    </row>
    <row r="646" spans="1:32" x14ac:dyDescent="0.2">
      <c r="A646" s="53" t="s">
        <v>2787</v>
      </c>
      <c r="B646" s="53" t="s">
        <v>2795</v>
      </c>
      <c r="C646" s="54" t="s">
        <v>3489</v>
      </c>
      <c r="D646" s="13" t="s">
        <v>1100</v>
      </c>
      <c r="E646" s="4" t="s">
        <v>1102</v>
      </c>
      <c r="F646" s="4" t="s">
        <v>1101</v>
      </c>
      <c r="G646" s="4" t="s">
        <v>1852</v>
      </c>
      <c r="H646" s="4">
        <v>592</v>
      </c>
      <c r="I646" s="5">
        <f t="shared" si="60"/>
        <v>462.26561688643807</v>
      </c>
      <c r="J646" s="4">
        <v>2561</v>
      </c>
      <c r="K646" s="5">
        <f t="shared" si="61"/>
        <v>1382.6106344946506</v>
      </c>
      <c r="L646" s="5">
        <v>0</v>
      </c>
      <c r="M646" s="5">
        <v>1</v>
      </c>
      <c r="N646" s="4">
        <v>0</v>
      </c>
      <c r="O646" s="5">
        <f t="shared" si="62"/>
        <v>0.33333333333333331</v>
      </c>
      <c r="P646" s="4">
        <v>0</v>
      </c>
      <c r="Q646" s="4">
        <v>0</v>
      </c>
      <c r="R646" s="4">
        <v>0</v>
      </c>
      <c r="S646" s="5">
        <f t="shared" si="63"/>
        <v>0</v>
      </c>
      <c r="T646" s="5">
        <f t="shared" si="64"/>
        <v>2.9909441325252359</v>
      </c>
      <c r="U646" s="5">
        <f t="shared" si="65"/>
        <v>0</v>
      </c>
      <c r="V646" s="4">
        <v>-7</v>
      </c>
      <c r="W646" s="4">
        <v>10</v>
      </c>
      <c r="X646" s="4">
        <v>-17</v>
      </c>
      <c r="Y646" s="4">
        <v>26</v>
      </c>
      <c r="Z646" s="4">
        <v>0</v>
      </c>
      <c r="AA646" s="4">
        <v>0</v>
      </c>
      <c r="AB646" s="4">
        <v>0</v>
      </c>
      <c r="AC646" s="4">
        <v>0</v>
      </c>
      <c r="AD646" s="4"/>
      <c r="AE646" s="54">
        <v>-3.5822391510009771E-4</v>
      </c>
      <c r="AF646" s="54">
        <v>-0.4590030312538147</v>
      </c>
    </row>
    <row r="647" spans="1:32" x14ac:dyDescent="0.2">
      <c r="A647" s="53" t="s">
        <v>2787</v>
      </c>
      <c r="B647" s="53" t="s">
        <v>2796</v>
      </c>
      <c r="C647" s="54" t="s">
        <v>3490</v>
      </c>
      <c r="D647" s="13" t="s">
        <v>1103</v>
      </c>
      <c r="E647" s="4" t="s">
        <v>1105</v>
      </c>
      <c r="F647" s="4" t="s">
        <v>1104</v>
      </c>
      <c r="G647" s="4" t="s">
        <v>107</v>
      </c>
      <c r="H647" s="4">
        <v>2086</v>
      </c>
      <c r="I647" s="5">
        <f t="shared" si="60"/>
        <v>1628.8616162586313</v>
      </c>
      <c r="J647" s="4">
        <v>4917</v>
      </c>
      <c r="K647" s="5">
        <f t="shared" si="61"/>
        <v>2654.5476336627089</v>
      </c>
      <c r="L647" s="5">
        <v>0</v>
      </c>
      <c r="M647" s="5">
        <v>0</v>
      </c>
      <c r="N647" s="4">
        <v>0</v>
      </c>
      <c r="O647" s="5">
        <f t="shared" si="62"/>
        <v>0</v>
      </c>
      <c r="P647" s="4">
        <v>0</v>
      </c>
      <c r="Q647" s="4">
        <v>0</v>
      </c>
      <c r="R647" s="4">
        <v>0</v>
      </c>
      <c r="S647" s="5">
        <f t="shared" si="63"/>
        <v>0</v>
      </c>
      <c r="T647" s="5">
        <f t="shared" si="64"/>
        <v>1.6296950011996714</v>
      </c>
      <c r="U647" s="5">
        <f t="shared" si="65"/>
        <v>0</v>
      </c>
      <c r="V647" s="4">
        <v>25</v>
      </c>
      <c r="W647" s="4">
        <v>6</v>
      </c>
      <c r="X647" s="4">
        <v>1</v>
      </c>
      <c r="Y647" s="4">
        <v>9</v>
      </c>
      <c r="Z647" s="4">
        <v>0</v>
      </c>
      <c r="AA647" s="4">
        <v>0</v>
      </c>
      <c r="AB647" s="4">
        <v>0</v>
      </c>
      <c r="AC647" s="4">
        <v>0</v>
      </c>
      <c r="AD647" s="4"/>
      <c r="AE647" s="54">
        <v>1.8852949142456049E-4</v>
      </c>
      <c r="AF647" s="54">
        <v>0.36330443620681763</v>
      </c>
    </row>
    <row r="648" spans="1:32" x14ac:dyDescent="0.2">
      <c r="A648" s="53" t="s">
        <v>2787</v>
      </c>
      <c r="B648" s="53" t="s">
        <v>2797</v>
      </c>
      <c r="C648" s="54" t="s">
        <v>3492</v>
      </c>
      <c r="D648" s="13" t="s">
        <v>1106</v>
      </c>
      <c r="E648" s="4" t="s">
        <v>1108</v>
      </c>
      <c r="F648" s="4" t="s">
        <v>1107</v>
      </c>
      <c r="G648" s="4" t="s">
        <v>132</v>
      </c>
      <c r="H648" s="4">
        <v>713</v>
      </c>
      <c r="I648" s="5">
        <f t="shared" si="60"/>
        <v>556.74896087842956</v>
      </c>
      <c r="J648" s="4">
        <v>4467</v>
      </c>
      <c r="K648" s="5">
        <f t="shared" si="61"/>
        <v>2411.6055073360421</v>
      </c>
      <c r="L648" s="5">
        <v>0</v>
      </c>
      <c r="M648" s="5">
        <v>0</v>
      </c>
      <c r="N648" s="4">
        <v>0</v>
      </c>
      <c r="O648" s="5">
        <f t="shared" si="62"/>
        <v>0</v>
      </c>
      <c r="P648" s="4">
        <v>0</v>
      </c>
      <c r="Q648" s="4">
        <v>0</v>
      </c>
      <c r="R648" s="4">
        <v>0</v>
      </c>
      <c r="S648" s="5">
        <f t="shared" si="63"/>
        <v>0</v>
      </c>
      <c r="T648" s="5">
        <f t="shared" si="64"/>
        <v>4.3315851071029385</v>
      </c>
      <c r="U648" s="5">
        <f t="shared" si="65"/>
        <v>0</v>
      </c>
      <c r="V648" s="4">
        <v>2</v>
      </c>
      <c r="W648" s="4">
        <v>13</v>
      </c>
      <c r="X648" s="4">
        <v>4</v>
      </c>
      <c r="Y648" s="4">
        <v>-14</v>
      </c>
      <c r="Z648" s="4">
        <v>0</v>
      </c>
      <c r="AA648" s="4">
        <v>0</v>
      </c>
      <c r="AB648" s="4">
        <v>0</v>
      </c>
      <c r="AC648" s="4">
        <v>0</v>
      </c>
      <c r="AD648" s="4"/>
      <c r="AE648" s="54">
        <v>3.9911270141601562E-4</v>
      </c>
      <c r="AF648" s="54">
        <v>0.49464499950408941</v>
      </c>
    </row>
    <row r="649" spans="1:32" x14ac:dyDescent="0.2">
      <c r="A649" s="53" t="s">
        <v>2787</v>
      </c>
      <c r="B649" s="53" t="s">
        <v>2804</v>
      </c>
      <c r="C649" s="54" t="s">
        <v>3493</v>
      </c>
      <c r="D649" s="13" t="s">
        <v>1118</v>
      </c>
      <c r="E649" s="4" t="s">
        <v>1120</v>
      </c>
      <c r="F649" s="4" t="s">
        <v>1119</v>
      </c>
      <c r="G649" s="4" t="s">
        <v>132</v>
      </c>
      <c r="H649" s="4">
        <v>426</v>
      </c>
      <c r="I649" s="5">
        <f t="shared" si="60"/>
        <v>332.64383917841656</v>
      </c>
      <c r="J649" s="4">
        <v>1343</v>
      </c>
      <c r="K649" s="5">
        <f t="shared" si="61"/>
        <v>725.04727923714017</v>
      </c>
      <c r="L649" s="5">
        <v>0</v>
      </c>
      <c r="M649" s="5">
        <v>0</v>
      </c>
      <c r="N649" s="4">
        <v>0</v>
      </c>
      <c r="O649" s="5">
        <f t="shared" si="62"/>
        <v>0</v>
      </c>
      <c r="P649" s="4">
        <v>0</v>
      </c>
      <c r="Q649" s="4">
        <v>0</v>
      </c>
      <c r="R649" s="4">
        <v>0</v>
      </c>
      <c r="S649" s="5">
        <f t="shared" si="63"/>
        <v>0</v>
      </c>
      <c r="T649" s="5">
        <f t="shared" si="64"/>
        <v>2.1796504063562545</v>
      </c>
      <c r="U649" s="5">
        <f t="shared" si="65"/>
        <v>0</v>
      </c>
      <c r="V649" s="4">
        <v>-34</v>
      </c>
      <c r="W649" s="4">
        <v>-1</v>
      </c>
      <c r="X649" s="4">
        <v>-44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/>
      <c r="AE649" s="54">
        <v>-2.155303955078125E-4</v>
      </c>
      <c r="AF649" s="54">
        <v>-0.37327557802200317</v>
      </c>
    </row>
    <row r="650" spans="1:32" x14ac:dyDescent="0.2">
      <c r="A650" s="53" t="s">
        <v>2787</v>
      </c>
      <c r="B650" s="53" t="s">
        <v>2805</v>
      </c>
      <c r="C650" s="54" t="s">
        <v>3494</v>
      </c>
      <c r="D650" s="13" t="s">
        <v>1128</v>
      </c>
      <c r="E650" s="4" t="s">
        <v>1130</v>
      </c>
      <c r="F650" s="4" t="s">
        <v>1129</v>
      </c>
      <c r="G650" s="4" t="s">
        <v>132</v>
      </c>
      <c r="H650" s="4">
        <v>366</v>
      </c>
      <c r="I650" s="5">
        <f t="shared" si="60"/>
        <v>285.79259422371001</v>
      </c>
      <c r="J650" s="4">
        <v>1322</v>
      </c>
      <c r="K650" s="5">
        <f t="shared" si="61"/>
        <v>713.7099800085623</v>
      </c>
      <c r="L650" s="5">
        <v>0</v>
      </c>
      <c r="M650" s="5">
        <v>0</v>
      </c>
      <c r="N650" s="4">
        <v>0</v>
      </c>
      <c r="O650" s="5">
        <f t="shared" si="62"/>
        <v>0</v>
      </c>
      <c r="P650" s="4">
        <v>0</v>
      </c>
      <c r="Q650" s="4">
        <v>0</v>
      </c>
      <c r="R650" s="4">
        <v>0</v>
      </c>
      <c r="S650" s="5">
        <f t="shared" si="63"/>
        <v>0</v>
      </c>
      <c r="T650" s="5">
        <f t="shared" si="64"/>
        <v>2.4973004704589763</v>
      </c>
      <c r="U650" s="5">
        <f t="shared" si="65"/>
        <v>0</v>
      </c>
      <c r="V650" s="4" t="s">
        <v>21</v>
      </c>
      <c r="W650" s="4" t="s">
        <v>21</v>
      </c>
      <c r="X650" s="4" t="s">
        <v>21</v>
      </c>
      <c r="Y650" s="4" t="s">
        <v>21</v>
      </c>
      <c r="Z650" s="4">
        <v>0</v>
      </c>
      <c r="AA650" s="4">
        <v>0</v>
      </c>
      <c r="AB650" s="4">
        <v>0</v>
      </c>
      <c r="AC650" s="4">
        <v>0</v>
      </c>
      <c r="AD650" s="4"/>
      <c r="AE650" s="54">
        <v>2.5415420532226562E-4</v>
      </c>
      <c r="AF650" s="54">
        <v>0.41229036450386047</v>
      </c>
    </row>
    <row r="651" spans="1:32" x14ac:dyDescent="0.2">
      <c r="A651" s="53" t="s">
        <v>2787</v>
      </c>
      <c r="B651" s="53" t="s">
        <v>2808</v>
      </c>
      <c r="C651" s="54" t="s">
        <v>3497</v>
      </c>
      <c r="D651" s="13" t="s">
        <v>1131</v>
      </c>
      <c r="E651" s="4" t="s">
        <v>1133</v>
      </c>
      <c r="F651" s="4" t="s">
        <v>1132</v>
      </c>
      <c r="G651" s="4" t="s">
        <v>132</v>
      </c>
      <c r="H651" s="4">
        <v>341</v>
      </c>
      <c r="I651" s="5">
        <f t="shared" si="60"/>
        <v>266.27124215924891</v>
      </c>
      <c r="J651" s="4">
        <v>581</v>
      </c>
      <c r="K651" s="5">
        <f t="shared" si="61"/>
        <v>313.66527865731825</v>
      </c>
      <c r="L651" s="5">
        <v>0</v>
      </c>
      <c r="M651" s="5">
        <v>0</v>
      </c>
      <c r="N651" s="4">
        <v>0</v>
      </c>
      <c r="O651" s="5">
        <f t="shared" si="62"/>
        <v>0</v>
      </c>
      <c r="P651" s="4">
        <v>0</v>
      </c>
      <c r="Q651" s="4">
        <v>0</v>
      </c>
      <c r="R651" s="4">
        <v>0</v>
      </c>
      <c r="S651" s="5">
        <f t="shared" si="63"/>
        <v>0</v>
      </c>
      <c r="T651" s="5">
        <f t="shared" si="64"/>
        <v>1.1779915702264399</v>
      </c>
      <c r="U651" s="5">
        <f t="shared" si="65"/>
        <v>0</v>
      </c>
      <c r="V651" s="4">
        <v>1</v>
      </c>
      <c r="W651" s="4">
        <v>-3</v>
      </c>
      <c r="X651" s="4">
        <v>1</v>
      </c>
      <c r="Y651" s="4">
        <v>39</v>
      </c>
      <c r="Z651" s="4">
        <v>0</v>
      </c>
      <c r="AA651" s="4">
        <v>0</v>
      </c>
      <c r="AB651" s="4">
        <v>0</v>
      </c>
      <c r="AC651" s="4">
        <v>0</v>
      </c>
      <c r="AD651" s="4"/>
      <c r="AE651" s="54">
        <v>-5.5581331253051758E-5</v>
      </c>
      <c r="AF651" s="54">
        <v>-0.21573995053768161</v>
      </c>
    </row>
    <row r="652" spans="1:32" x14ac:dyDescent="0.2">
      <c r="A652" s="53" t="s">
        <v>2787</v>
      </c>
      <c r="B652" s="53" t="s">
        <v>2809</v>
      </c>
      <c r="C652" s="54" t="s">
        <v>3498</v>
      </c>
      <c r="D652" s="13" t="s">
        <v>58</v>
      </c>
      <c r="E652" s="4" t="s">
        <v>60</v>
      </c>
      <c r="F652" s="4" t="s">
        <v>59</v>
      </c>
      <c r="G652" s="4" t="s">
        <v>132</v>
      </c>
      <c r="H652" s="4">
        <v>830</v>
      </c>
      <c r="I652" s="5">
        <f t="shared" si="60"/>
        <v>648.10888854010739</v>
      </c>
      <c r="J652" s="4">
        <v>1802</v>
      </c>
      <c r="K652" s="5">
        <f t="shared" si="61"/>
        <v>972.84824809033989</v>
      </c>
      <c r="L652" s="5">
        <v>0</v>
      </c>
      <c r="M652" s="5">
        <v>0</v>
      </c>
      <c r="N652" s="4">
        <v>0</v>
      </c>
      <c r="O652" s="5">
        <f t="shared" si="62"/>
        <v>0</v>
      </c>
      <c r="P652" s="4">
        <v>0</v>
      </c>
      <c r="Q652" s="4">
        <v>0</v>
      </c>
      <c r="R652" s="4">
        <v>0</v>
      </c>
      <c r="S652" s="5">
        <f t="shared" si="63"/>
        <v>0</v>
      </c>
      <c r="T652" s="5">
        <f t="shared" si="64"/>
        <v>1.5010567904441514</v>
      </c>
      <c r="U652" s="5">
        <f t="shared" si="65"/>
        <v>0</v>
      </c>
      <c r="V652" s="4">
        <v>49</v>
      </c>
      <c r="W652" s="4">
        <v>-18</v>
      </c>
      <c r="X652" s="4">
        <v>-17</v>
      </c>
      <c r="Y652" s="4">
        <v>49</v>
      </c>
      <c r="Z652" s="4">
        <v>0</v>
      </c>
      <c r="AA652" s="4">
        <v>0.01</v>
      </c>
      <c r="AB652" s="4">
        <v>0.69</v>
      </c>
      <c r="AC652" s="4">
        <v>7.0000000000000007E-2</v>
      </c>
      <c r="AD652" s="4"/>
      <c r="AE652" s="54">
        <v>2.7024745941162109E-4</v>
      </c>
      <c r="AF652" s="54">
        <v>0.42181968688964838</v>
      </c>
    </row>
    <row r="653" spans="1:32" x14ac:dyDescent="0.2">
      <c r="A653" s="53" t="s">
        <v>2787</v>
      </c>
      <c r="B653" s="53" t="s">
        <v>2812</v>
      </c>
      <c r="C653" s="54" t="s">
        <v>3501</v>
      </c>
      <c r="D653" s="13" t="s">
        <v>1134</v>
      </c>
      <c r="E653" s="4" t="s">
        <v>1136</v>
      </c>
      <c r="F653" s="4" t="s">
        <v>1135</v>
      </c>
      <c r="G653" s="4" t="s">
        <v>132</v>
      </c>
      <c r="H653" s="4">
        <v>544</v>
      </c>
      <c r="I653" s="5">
        <f t="shared" si="60"/>
        <v>424.78462092267279</v>
      </c>
      <c r="J653" s="4">
        <v>4959</v>
      </c>
      <c r="K653" s="5">
        <f t="shared" si="61"/>
        <v>2677.2222321198647</v>
      </c>
      <c r="L653" s="5">
        <v>0</v>
      </c>
      <c r="M653" s="5">
        <v>0</v>
      </c>
      <c r="N653" s="4">
        <v>0</v>
      </c>
      <c r="O653" s="5">
        <f t="shared" si="62"/>
        <v>0</v>
      </c>
      <c r="P653" s="4">
        <v>0</v>
      </c>
      <c r="Q653" s="4">
        <v>0</v>
      </c>
      <c r="R653" s="4">
        <v>0</v>
      </c>
      <c r="S653" s="5">
        <f t="shared" si="63"/>
        <v>0</v>
      </c>
      <c r="T653" s="5">
        <f t="shared" si="64"/>
        <v>6.3025403940111628</v>
      </c>
      <c r="U653" s="5">
        <f t="shared" si="65"/>
        <v>0</v>
      </c>
      <c r="V653" s="4">
        <v>-24</v>
      </c>
      <c r="W653" s="4">
        <v>-6</v>
      </c>
      <c r="X653" s="4">
        <v>-15</v>
      </c>
      <c r="Y653" s="4">
        <v>-40</v>
      </c>
      <c r="Z653" s="4">
        <v>0</v>
      </c>
      <c r="AA653" s="4">
        <v>0</v>
      </c>
      <c r="AB653" s="4">
        <v>0</v>
      </c>
      <c r="AC653" s="4">
        <v>0</v>
      </c>
      <c r="AD653" s="4"/>
      <c r="AE653" s="54">
        <v>9.8526477813720703E-5</v>
      </c>
      <c r="AF653" s="54">
        <v>0.28066122531890869</v>
      </c>
    </row>
    <row r="654" spans="1:32" x14ac:dyDescent="0.2">
      <c r="A654" s="53" t="s">
        <v>2787</v>
      </c>
      <c r="B654" s="53" t="s">
        <v>2813</v>
      </c>
      <c r="C654" s="54" t="s">
        <v>3502</v>
      </c>
      <c r="D654" s="13" t="s">
        <v>494</v>
      </c>
      <c r="E654" s="4" t="s">
        <v>496</v>
      </c>
      <c r="F654" s="4" t="s">
        <v>495</v>
      </c>
      <c r="G654" s="4" t="s">
        <v>132</v>
      </c>
      <c r="H654" s="4">
        <v>704</v>
      </c>
      <c r="I654" s="5">
        <f t="shared" si="60"/>
        <v>549.72127413522367</v>
      </c>
      <c r="J654" s="4">
        <v>683</v>
      </c>
      <c r="K654" s="5">
        <f t="shared" si="61"/>
        <v>368.73216062469595</v>
      </c>
      <c r="L654" s="5">
        <v>0</v>
      </c>
      <c r="M654" s="5">
        <v>0</v>
      </c>
      <c r="N654" s="4">
        <v>0</v>
      </c>
      <c r="O654" s="5">
        <f t="shared" si="62"/>
        <v>0</v>
      </c>
      <c r="P654" s="4">
        <v>0</v>
      </c>
      <c r="Q654" s="4">
        <v>0</v>
      </c>
      <c r="R654" s="4">
        <v>0</v>
      </c>
      <c r="S654" s="5">
        <f t="shared" si="63"/>
        <v>0</v>
      </c>
      <c r="T654" s="5">
        <f t="shared" si="64"/>
        <v>0.67076203518729571</v>
      </c>
      <c r="U654" s="5">
        <f t="shared" si="65"/>
        <v>0</v>
      </c>
      <c r="V654" s="4" t="s">
        <v>21</v>
      </c>
      <c r="W654" s="4" t="s">
        <v>21</v>
      </c>
      <c r="X654" s="4" t="s">
        <v>21</v>
      </c>
      <c r="Y654" s="4" t="s">
        <v>21</v>
      </c>
      <c r="Z654" s="4">
        <v>0</v>
      </c>
      <c r="AA654" s="4">
        <v>0</v>
      </c>
      <c r="AB654" s="4">
        <v>0</v>
      </c>
      <c r="AC654" s="4">
        <v>0</v>
      </c>
      <c r="AD654" s="4"/>
      <c r="AE654" s="54">
        <v>-1.513957977294922E-5</v>
      </c>
      <c r="AF654" s="54">
        <v>-0.11485084891319269</v>
      </c>
    </row>
    <row r="655" spans="1:32" x14ac:dyDescent="0.2">
      <c r="A655" s="53" t="s">
        <v>2787</v>
      </c>
      <c r="B655" s="53" t="s">
        <v>2814</v>
      </c>
      <c r="C655" s="54" t="s">
        <v>3503</v>
      </c>
      <c r="D655" s="13" t="s">
        <v>1144</v>
      </c>
      <c r="E655" s="4" t="s">
        <v>1146</v>
      </c>
      <c r="F655" s="4" t="s">
        <v>1145</v>
      </c>
      <c r="G655" s="4" t="s">
        <v>132</v>
      </c>
      <c r="H655" s="4">
        <v>3618</v>
      </c>
      <c r="I655" s="5">
        <f t="shared" si="60"/>
        <v>2825.1300707688056</v>
      </c>
      <c r="J655" s="4">
        <v>931</v>
      </c>
      <c r="K655" s="5">
        <f t="shared" si="61"/>
        <v>502.62026580028106</v>
      </c>
      <c r="L655" s="5">
        <v>0</v>
      </c>
      <c r="M655" s="5">
        <v>0</v>
      </c>
      <c r="N655" s="4">
        <v>0</v>
      </c>
      <c r="O655" s="5">
        <f t="shared" si="62"/>
        <v>0</v>
      </c>
      <c r="P655" s="4">
        <v>0</v>
      </c>
      <c r="Q655" s="4">
        <v>0</v>
      </c>
      <c r="R655" s="4">
        <v>0</v>
      </c>
      <c r="S655" s="5">
        <f t="shared" si="63"/>
        <v>0</v>
      </c>
      <c r="T655" s="5">
        <f t="shared" si="64"/>
        <v>0.17791048667132783</v>
      </c>
      <c r="U655" s="5">
        <f t="shared" si="65"/>
        <v>0</v>
      </c>
      <c r="V655" s="4">
        <v>10</v>
      </c>
      <c r="W655" s="4">
        <v>0</v>
      </c>
      <c r="X655" s="4">
        <v>2</v>
      </c>
      <c r="Y655" s="4">
        <v>-4</v>
      </c>
      <c r="Z655" s="4">
        <v>0</v>
      </c>
      <c r="AA655" s="4">
        <v>0</v>
      </c>
      <c r="AB655" s="4">
        <v>0</v>
      </c>
      <c r="AC655" s="4">
        <v>0</v>
      </c>
      <c r="AD655" s="4"/>
      <c r="AE655" s="54">
        <v>-1.665949821472168E-4</v>
      </c>
      <c r="AF655" s="54">
        <v>-0.33289417624473572</v>
      </c>
    </row>
    <row r="656" spans="1:32" x14ac:dyDescent="0.2">
      <c r="A656" s="53" t="s">
        <v>2787</v>
      </c>
      <c r="B656" s="53" t="s">
        <v>2815</v>
      </c>
      <c r="C656" s="54" t="s">
        <v>3504</v>
      </c>
      <c r="D656" s="13" t="s">
        <v>1157</v>
      </c>
      <c r="E656" s="4" t="s">
        <v>1159</v>
      </c>
      <c r="F656" s="4" t="s">
        <v>1158</v>
      </c>
      <c r="G656" s="4" t="s">
        <v>132</v>
      </c>
      <c r="H656" s="4">
        <v>1480</v>
      </c>
      <c r="I656" s="5">
        <f t="shared" si="60"/>
        <v>1155.6640422160949</v>
      </c>
      <c r="J656" s="4">
        <v>4926</v>
      </c>
      <c r="K656" s="5">
        <f t="shared" si="61"/>
        <v>2659.4064761892423</v>
      </c>
      <c r="L656" s="5">
        <v>0</v>
      </c>
      <c r="M656" s="5">
        <v>0</v>
      </c>
      <c r="N656" s="4">
        <v>0</v>
      </c>
      <c r="O656" s="5">
        <f t="shared" si="62"/>
        <v>0</v>
      </c>
      <c r="P656" s="4">
        <v>0</v>
      </c>
      <c r="Q656" s="4">
        <v>0</v>
      </c>
      <c r="R656" s="4">
        <v>0</v>
      </c>
      <c r="S656" s="5">
        <f t="shared" si="63"/>
        <v>0</v>
      </c>
      <c r="T656" s="5">
        <f t="shared" si="64"/>
        <v>2.3011934083278902</v>
      </c>
      <c r="U656" s="5">
        <f t="shared" si="65"/>
        <v>0</v>
      </c>
      <c r="V656" s="4">
        <v>-2</v>
      </c>
      <c r="W656" s="4">
        <v>-21</v>
      </c>
      <c r="X656" s="4">
        <v>-22</v>
      </c>
      <c r="Y656" s="4">
        <v>25</v>
      </c>
      <c r="Z656" s="4">
        <v>0</v>
      </c>
      <c r="AA656" s="4">
        <v>0</v>
      </c>
      <c r="AB656" s="4">
        <v>0</v>
      </c>
      <c r="AC656" s="4">
        <v>0</v>
      </c>
      <c r="AD656" s="4"/>
      <c r="AE656" s="54">
        <v>9.6100568771362305E-4</v>
      </c>
      <c r="AF656" s="54">
        <v>0.70477992296218872</v>
      </c>
    </row>
    <row r="657" spans="1:32" x14ac:dyDescent="0.2">
      <c r="A657" s="53" t="s">
        <v>2787</v>
      </c>
      <c r="B657" s="53" t="s">
        <v>2816</v>
      </c>
      <c r="C657" s="54" t="s">
        <v>3505</v>
      </c>
      <c r="D657" s="13" t="s">
        <v>1160</v>
      </c>
      <c r="E657" s="4" t="s">
        <v>1162</v>
      </c>
      <c r="F657" s="4" t="s">
        <v>1161</v>
      </c>
      <c r="G657" s="4" t="s">
        <v>132</v>
      </c>
      <c r="H657" s="4">
        <v>6632</v>
      </c>
      <c r="I657" s="5">
        <f t="shared" si="60"/>
        <v>5178.6242756602314</v>
      </c>
      <c r="J657" s="4">
        <v>1758</v>
      </c>
      <c r="K657" s="5">
        <f t="shared" si="61"/>
        <v>949.09390684951029</v>
      </c>
      <c r="L657" s="5">
        <v>0</v>
      </c>
      <c r="M657" s="5">
        <v>0</v>
      </c>
      <c r="N657" s="4">
        <v>0</v>
      </c>
      <c r="O657" s="5">
        <f t="shared" si="62"/>
        <v>0</v>
      </c>
      <c r="P657" s="4">
        <v>0</v>
      </c>
      <c r="Q657" s="4">
        <v>0</v>
      </c>
      <c r="R657" s="4">
        <v>0</v>
      </c>
      <c r="S657" s="5">
        <f t="shared" si="63"/>
        <v>0</v>
      </c>
      <c r="T657" s="5">
        <f t="shared" si="64"/>
        <v>0.18327143587347988</v>
      </c>
      <c r="U657" s="5">
        <f t="shared" si="65"/>
        <v>0</v>
      </c>
      <c r="V657" s="4">
        <v>-20</v>
      </c>
      <c r="W657" s="4">
        <v>-9</v>
      </c>
      <c r="X657" s="4">
        <v>-28</v>
      </c>
      <c r="Y657" s="4">
        <v>-9</v>
      </c>
      <c r="Z657" s="4">
        <v>0</v>
      </c>
      <c r="AA657" s="4">
        <v>0</v>
      </c>
      <c r="AB657" s="4">
        <v>0</v>
      </c>
      <c r="AC657" s="4">
        <v>0</v>
      </c>
      <c r="AD657" s="4"/>
      <c r="AE657" s="54">
        <v>2.9325485229492188E-4</v>
      </c>
      <c r="AF657" s="54">
        <v>0.43125671148300171</v>
      </c>
    </row>
    <row r="658" spans="1:32" x14ac:dyDescent="0.2">
      <c r="A658" s="53" t="s">
        <v>2787</v>
      </c>
      <c r="B658" s="53" t="s">
        <v>2818</v>
      </c>
      <c r="C658" s="54" t="s">
        <v>3507</v>
      </c>
      <c r="D658" s="13" t="s">
        <v>1167</v>
      </c>
      <c r="E658" s="4" t="s">
        <v>1169</v>
      </c>
      <c r="F658" s="4" t="s">
        <v>1168</v>
      </c>
      <c r="G658" s="4" t="s">
        <v>132</v>
      </c>
      <c r="H658" s="4">
        <v>222</v>
      </c>
      <c r="I658" s="5">
        <f t="shared" si="60"/>
        <v>173.34960633241425</v>
      </c>
      <c r="J658" s="4">
        <v>2121</v>
      </c>
      <c r="K658" s="5">
        <f t="shared" si="61"/>
        <v>1145.0672220863546</v>
      </c>
      <c r="L658" s="5">
        <v>0</v>
      </c>
      <c r="M658" s="5">
        <v>0</v>
      </c>
      <c r="N658" s="4">
        <v>0</v>
      </c>
      <c r="O658" s="5">
        <f t="shared" si="62"/>
        <v>0</v>
      </c>
      <c r="P658" s="4">
        <v>0</v>
      </c>
      <c r="Q658" s="4">
        <v>0</v>
      </c>
      <c r="R658" s="4">
        <v>0</v>
      </c>
      <c r="S658" s="5">
        <f t="shared" si="63"/>
        <v>0</v>
      </c>
      <c r="T658" s="5">
        <f t="shared" si="64"/>
        <v>6.6055369049444508</v>
      </c>
      <c r="U658" s="5">
        <f t="shared" si="65"/>
        <v>0</v>
      </c>
      <c r="V658" s="4">
        <v>27</v>
      </c>
      <c r="W658" s="4">
        <v>-2</v>
      </c>
      <c r="X658" s="4">
        <v>-1</v>
      </c>
      <c r="Y658" s="4">
        <v>-2</v>
      </c>
      <c r="Z658" s="4">
        <v>0</v>
      </c>
      <c r="AA658" s="4">
        <v>0</v>
      </c>
      <c r="AB658" s="4">
        <v>0</v>
      </c>
      <c r="AC658" s="4">
        <v>0</v>
      </c>
      <c r="AD658" s="4"/>
      <c r="AE658" s="54">
        <v>-5.4746866226196289E-4</v>
      </c>
      <c r="AF658" s="54">
        <v>-0.55317401885986328</v>
      </c>
    </row>
    <row r="659" spans="1:32" x14ac:dyDescent="0.2">
      <c r="A659" s="53" t="s">
        <v>2787</v>
      </c>
      <c r="B659" s="53" t="s">
        <v>2819</v>
      </c>
      <c r="C659" s="54" t="s">
        <v>3508</v>
      </c>
      <c r="D659" s="13" t="s">
        <v>161</v>
      </c>
      <c r="E659" s="4" t="s">
        <v>163</v>
      </c>
      <c r="F659" s="4" t="s">
        <v>162</v>
      </c>
      <c r="G659" s="4" t="s">
        <v>132</v>
      </c>
      <c r="H659" s="4">
        <v>184</v>
      </c>
      <c r="I659" s="5">
        <f t="shared" si="60"/>
        <v>143.67715119443346</v>
      </c>
      <c r="J659" s="4">
        <v>1967</v>
      </c>
      <c r="K659" s="5">
        <f t="shared" si="61"/>
        <v>1061.9270277434509</v>
      </c>
      <c r="L659" s="5">
        <v>0</v>
      </c>
      <c r="M659" s="5">
        <v>0</v>
      </c>
      <c r="N659" s="4">
        <v>0</v>
      </c>
      <c r="O659" s="5">
        <f t="shared" si="62"/>
        <v>0</v>
      </c>
      <c r="P659" s="4">
        <v>0</v>
      </c>
      <c r="Q659" s="4">
        <v>0</v>
      </c>
      <c r="R659" s="4">
        <v>0</v>
      </c>
      <c r="S659" s="5">
        <f t="shared" si="63"/>
        <v>0</v>
      </c>
      <c r="T659" s="5">
        <f t="shared" si="64"/>
        <v>7.3910640551772966</v>
      </c>
      <c r="U659" s="5">
        <f t="shared" si="65"/>
        <v>0</v>
      </c>
      <c r="V659" s="4">
        <v>20</v>
      </c>
      <c r="W659" s="4">
        <v>-42</v>
      </c>
      <c r="X659" s="4">
        <v>20</v>
      </c>
      <c r="Y659" s="4">
        <v>42</v>
      </c>
      <c r="Z659" s="4">
        <v>0.01</v>
      </c>
      <c r="AA659" s="4">
        <v>0</v>
      </c>
      <c r="AB659" s="4">
        <v>0</v>
      </c>
      <c r="AC659" s="4">
        <v>0</v>
      </c>
      <c r="AD659" s="4"/>
      <c r="AE659" s="54">
        <v>-1.8906593322753909E-4</v>
      </c>
      <c r="AF659" s="54">
        <v>-0.35324940085411072</v>
      </c>
    </row>
    <row r="660" spans="1:32" x14ac:dyDescent="0.2">
      <c r="A660" s="53" t="s">
        <v>2787</v>
      </c>
      <c r="B660" s="53" t="s">
        <v>2820</v>
      </c>
      <c r="C660" s="54" t="s">
        <v>3509</v>
      </c>
      <c r="D660" s="13" t="s">
        <v>1174</v>
      </c>
      <c r="E660" s="4" t="s">
        <v>1176</v>
      </c>
      <c r="F660" s="4" t="s">
        <v>1175</v>
      </c>
      <c r="G660" s="4" t="s">
        <v>132</v>
      </c>
      <c r="H660" s="4">
        <v>1519</v>
      </c>
      <c r="I660" s="5">
        <f t="shared" si="60"/>
        <v>1186.1173514366542</v>
      </c>
      <c r="J660" s="4">
        <v>1718</v>
      </c>
      <c r="K660" s="5">
        <f t="shared" si="61"/>
        <v>927.49905117602884</v>
      </c>
      <c r="L660" s="5">
        <v>0</v>
      </c>
      <c r="M660" s="5">
        <v>0</v>
      </c>
      <c r="N660" s="4">
        <v>0</v>
      </c>
      <c r="O660" s="5">
        <f t="shared" si="62"/>
        <v>0</v>
      </c>
      <c r="P660" s="4">
        <v>0</v>
      </c>
      <c r="Q660" s="4">
        <v>0</v>
      </c>
      <c r="R660" s="4">
        <v>0</v>
      </c>
      <c r="S660" s="5">
        <f t="shared" si="63"/>
        <v>0</v>
      </c>
      <c r="T660" s="5">
        <f t="shared" si="64"/>
        <v>0.78196229913728132</v>
      </c>
      <c r="U660" s="5">
        <f t="shared" si="65"/>
        <v>0</v>
      </c>
      <c r="V660" s="4">
        <v>30</v>
      </c>
      <c r="W660" s="4">
        <v>-43</v>
      </c>
      <c r="X660" s="4">
        <v>-44</v>
      </c>
      <c r="Y660" s="4">
        <v>10</v>
      </c>
      <c r="Z660" s="4">
        <v>0</v>
      </c>
      <c r="AA660" s="4">
        <v>0</v>
      </c>
      <c r="AB660" s="4">
        <v>0</v>
      </c>
      <c r="AC660" s="4">
        <v>0</v>
      </c>
      <c r="AD660" s="4"/>
      <c r="AE660" s="54">
        <v>1.638531684875488E-4</v>
      </c>
      <c r="AF660" s="54">
        <v>0.34311208128929138</v>
      </c>
    </row>
    <row r="661" spans="1:32" x14ac:dyDescent="0.2">
      <c r="A661" s="53" t="s">
        <v>2787</v>
      </c>
      <c r="B661" s="53" t="s">
        <v>2821</v>
      </c>
      <c r="C661" s="54" t="s">
        <v>3510</v>
      </c>
      <c r="D661" s="13" t="s">
        <v>101</v>
      </c>
      <c r="E661" s="4" t="s">
        <v>103</v>
      </c>
      <c r="F661" s="4" t="s">
        <v>102</v>
      </c>
      <c r="G661" s="4" t="s">
        <v>132</v>
      </c>
      <c r="H661" s="4">
        <v>2925</v>
      </c>
      <c r="I661" s="5">
        <f t="shared" si="60"/>
        <v>2283.9981915419448</v>
      </c>
      <c r="J661" s="4">
        <v>1015</v>
      </c>
      <c r="K661" s="5">
        <f t="shared" si="61"/>
        <v>547.96946271459217</v>
      </c>
      <c r="L661" s="5">
        <v>0</v>
      </c>
      <c r="M661" s="5">
        <v>0</v>
      </c>
      <c r="N661" s="4">
        <v>0</v>
      </c>
      <c r="O661" s="5">
        <f t="shared" si="62"/>
        <v>0</v>
      </c>
      <c r="P661" s="4">
        <v>0</v>
      </c>
      <c r="Q661" s="4">
        <v>0</v>
      </c>
      <c r="R661" s="4">
        <v>0</v>
      </c>
      <c r="S661" s="5">
        <f t="shared" si="63"/>
        <v>0</v>
      </c>
      <c r="T661" s="5">
        <f t="shared" si="64"/>
        <v>0.23991676733537767</v>
      </c>
      <c r="U661" s="5">
        <f t="shared" si="65"/>
        <v>0</v>
      </c>
      <c r="V661" s="4" t="s">
        <v>21</v>
      </c>
      <c r="W661" s="4" t="s">
        <v>21</v>
      </c>
      <c r="X661" s="4" t="s">
        <v>21</v>
      </c>
      <c r="Y661" s="4" t="s">
        <v>21</v>
      </c>
      <c r="Z661" s="4" t="s">
        <v>21</v>
      </c>
      <c r="AA661" s="4" t="s">
        <v>21</v>
      </c>
      <c r="AB661" s="4">
        <v>0</v>
      </c>
      <c r="AC661" s="4">
        <v>0</v>
      </c>
      <c r="AD661" s="4"/>
      <c r="AE661" s="54">
        <v>-2.1165609359741211E-4</v>
      </c>
      <c r="AF661" s="54">
        <v>-0.37327557802200317</v>
      </c>
    </row>
    <row r="662" spans="1:32" x14ac:dyDescent="0.2">
      <c r="A662" s="53" t="s">
        <v>2787</v>
      </c>
      <c r="B662" s="53" t="s">
        <v>2826</v>
      </c>
      <c r="C662" s="54" t="s">
        <v>3511</v>
      </c>
      <c r="D662" s="13" t="s">
        <v>1177</v>
      </c>
      <c r="E662" s="4" t="s">
        <v>1179</v>
      </c>
      <c r="F662" s="4" t="s">
        <v>1178</v>
      </c>
      <c r="G662" s="4" t="s">
        <v>132</v>
      </c>
      <c r="H662" s="4">
        <v>173</v>
      </c>
      <c r="I662" s="5">
        <f t="shared" si="60"/>
        <v>135.08775628607057</v>
      </c>
      <c r="J662" s="4">
        <v>2024</v>
      </c>
      <c r="K662" s="5">
        <f t="shared" si="61"/>
        <v>1092.699697078162</v>
      </c>
      <c r="L662" s="5">
        <v>0</v>
      </c>
      <c r="M662" s="5">
        <v>0</v>
      </c>
      <c r="N662" s="4">
        <v>0</v>
      </c>
      <c r="O662" s="5">
        <f t="shared" si="62"/>
        <v>0</v>
      </c>
      <c r="P662" s="4">
        <v>0</v>
      </c>
      <c r="Q662" s="4">
        <v>0</v>
      </c>
      <c r="R662" s="4">
        <v>0</v>
      </c>
      <c r="S662" s="5">
        <f t="shared" si="63"/>
        <v>0</v>
      </c>
      <c r="T662" s="5">
        <f t="shared" si="64"/>
        <v>8.0888137246442255</v>
      </c>
      <c r="U662" s="5">
        <f t="shared" si="65"/>
        <v>0</v>
      </c>
      <c r="V662" s="4">
        <v>46</v>
      </c>
      <c r="W662" s="4">
        <v>-2</v>
      </c>
      <c r="X662" s="4">
        <v>46</v>
      </c>
      <c r="Y662" s="4">
        <v>-2</v>
      </c>
      <c r="Z662" s="4">
        <v>0</v>
      </c>
      <c r="AA662" s="4">
        <v>0</v>
      </c>
      <c r="AB662" s="4">
        <v>0</v>
      </c>
      <c r="AC662" s="4">
        <v>0</v>
      </c>
      <c r="AD662" s="4"/>
      <c r="AE662" s="54">
        <v>-2.867579460144043E-4</v>
      </c>
      <c r="AF662" s="54">
        <v>-0.42181968688964838</v>
      </c>
    </row>
    <row r="663" spans="1:32" x14ac:dyDescent="0.2">
      <c r="A663" s="53" t="s">
        <v>2787</v>
      </c>
      <c r="B663" s="53" t="s">
        <v>2827</v>
      </c>
      <c r="C663" s="54" t="s">
        <v>3516</v>
      </c>
      <c r="D663" s="13" t="s">
        <v>1180</v>
      </c>
      <c r="E663" s="4" t="s">
        <v>1182</v>
      </c>
      <c r="F663" s="4" t="s">
        <v>1181</v>
      </c>
      <c r="G663" s="4" t="s">
        <v>132</v>
      </c>
      <c r="H663" s="4">
        <v>2821</v>
      </c>
      <c r="I663" s="5">
        <f t="shared" si="60"/>
        <v>2202.7893669537866</v>
      </c>
      <c r="J663" s="4">
        <v>5108</v>
      </c>
      <c r="K663" s="5">
        <f t="shared" si="61"/>
        <v>2757.6630695035828</v>
      </c>
      <c r="L663" s="5">
        <v>0</v>
      </c>
      <c r="M663" s="5">
        <v>0</v>
      </c>
      <c r="N663" s="4">
        <v>0</v>
      </c>
      <c r="O663" s="5">
        <f t="shared" si="62"/>
        <v>0</v>
      </c>
      <c r="P663" s="4">
        <v>0</v>
      </c>
      <c r="Q663" s="4">
        <v>0</v>
      </c>
      <c r="R663" s="4">
        <v>0</v>
      </c>
      <c r="S663" s="5">
        <f t="shared" si="63"/>
        <v>0</v>
      </c>
      <c r="T663" s="5">
        <f t="shared" si="64"/>
        <v>1.2518959419697604</v>
      </c>
      <c r="U663" s="5">
        <f t="shared" si="65"/>
        <v>0</v>
      </c>
      <c r="V663" s="4">
        <v>24</v>
      </c>
      <c r="W663" s="4">
        <v>-6</v>
      </c>
      <c r="X663" s="4">
        <v>2</v>
      </c>
      <c r="Y663" s="4">
        <v>48</v>
      </c>
      <c r="Z663" s="4">
        <v>0</v>
      </c>
      <c r="AA663" s="4">
        <v>0</v>
      </c>
      <c r="AB663" s="4">
        <v>0</v>
      </c>
      <c r="AC663" s="4">
        <v>0.06</v>
      </c>
      <c r="AD663" s="4"/>
      <c r="AE663" s="54">
        <v>5.4764747619628906E-4</v>
      </c>
      <c r="AF663" s="54">
        <v>0.56112885475158691</v>
      </c>
    </row>
    <row r="664" spans="1:32" x14ac:dyDescent="0.2">
      <c r="A664" s="53" t="s">
        <v>2787</v>
      </c>
      <c r="B664" s="53" t="s">
        <v>2830</v>
      </c>
      <c r="C664" s="54" t="s">
        <v>3519</v>
      </c>
      <c r="D664" s="13" t="s">
        <v>1186</v>
      </c>
      <c r="E664" s="4" t="s">
        <v>1188</v>
      </c>
      <c r="F664" s="4" t="s">
        <v>1187</v>
      </c>
      <c r="G664" s="4" t="s">
        <v>132</v>
      </c>
      <c r="H664" s="4">
        <v>3352</v>
      </c>
      <c r="I664" s="5">
        <f t="shared" si="60"/>
        <v>2617.4228848029397</v>
      </c>
      <c r="J664" s="4">
        <v>3107</v>
      </c>
      <c r="K664" s="5">
        <f t="shared" si="61"/>
        <v>1677.3804144376725</v>
      </c>
      <c r="L664" s="5">
        <v>0</v>
      </c>
      <c r="M664" s="5">
        <v>0</v>
      </c>
      <c r="N664" s="4">
        <v>0</v>
      </c>
      <c r="O664" s="5">
        <f t="shared" si="62"/>
        <v>0</v>
      </c>
      <c r="P664" s="4">
        <v>0</v>
      </c>
      <c r="Q664" s="4">
        <v>0</v>
      </c>
      <c r="R664" s="4">
        <v>0</v>
      </c>
      <c r="S664" s="5">
        <f t="shared" si="63"/>
        <v>0</v>
      </c>
      <c r="T664" s="5">
        <f t="shared" si="64"/>
        <v>0.64085189450154856</v>
      </c>
      <c r="U664" s="5">
        <f t="shared" si="65"/>
        <v>0</v>
      </c>
      <c r="V664" s="4">
        <v>-27</v>
      </c>
      <c r="W664" s="4">
        <v>10</v>
      </c>
      <c r="X664" s="4">
        <v>-27</v>
      </c>
      <c r="Y664" s="4">
        <v>-2</v>
      </c>
      <c r="Z664" s="4">
        <v>0</v>
      </c>
      <c r="AA664" s="4">
        <v>0</v>
      </c>
      <c r="AB664" s="4">
        <v>0</v>
      </c>
      <c r="AC664" s="4">
        <v>0</v>
      </c>
      <c r="AD664" s="4"/>
      <c r="AE664" s="54">
        <v>6.9916248321533203E-5</v>
      </c>
      <c r="AF664" s="54">
        <v>0.2484796196222305</v>
      </c>
    </row>
    <row r="665" spans="1:32" x14ac:dyDescent="0.2">
      <c r="A665" s="53" t="s">
        <v>2787</v>
      </c>
      <c r="B665" s="53" t="s">
        <v>2831</v>
      </c>
      <c r="C665" s="54" t="s">
        <v>3520</v>
      </c>
      <c r="D665" s="13" t="s">
        <v>1189</v>
      </c>
      <c r="E665" s="4" t="s">
        <v>1191</v>
      </c>
      <c r="F665" s="4" t="s">
        <v>1190</v>
      </c>
      <c r="G665" s="4" t="s">
        <v>132</v>
      </c>
      <c r="H665" s="4">
        <v>1131</v>
      </c>
      <c r="I665" s="5">
        <f t="shared" si="60"/>
        <v>883.14596739621868</v>
      </c>
      <c r="J665" s="4">
        <v>3455</v>
      </c>
      <c r="K665" s="5">
        <f t="shared" si="61"/>
        <v>1865.2556587969614</v>
      </c>
      <c r="L665" s="5">
        <v>0</v>
      </c>
      <c r="M665" s="5">
        <v>0</v>
      </c>
      <c r="N665" s="4">
        <v>0</v>
      </c>
      <c r="O665" s="5">
        <f t="shared" si="62"/>
        <v>0</v>
      </c>
      <c r="P665" s="4">
        <v>0</v>
      </c>
      <c r="Q665" s="4">
        <v>0</v>
      </c>
      <c r="R665" s="4">
        <v>0</v>
      </c>
      <c r="S665" s="5">
        <f t="shared" si="63"/>
        <v>0</v>
      </c>
      <c r="T665" s="5">
        <f t="shared" si="64"/>
        <v>2.1120581734594781</v>
      </c>
      <c r="U665" s="5">
        <f t="shared" si="65"/>
        <v>0</v>
      </c>
      <c r="V665" s="4">
        <v>-27</v>
      </c>
      <c r="W665" s="4">
        <v>-47</v>
      </c>
      <c r="X665" s="4">
        <v>-42</v>
      </c>
      <c r="Y665" s="4">
        <v>36</v>
      </c>
      <c r="Z665" s="4">
        <v>0</v>
      </c>
      <c r="AA665" s="4">
        <v>0</v>
      </c>
      <c r="AB665" s="4">
        <v>0</v>
      </c>
      <c r="AC665" s="4">
        <v>0</v>
      </c>
      <c r="AD665" s="4"/>
      <c r="AE665" s="54">
        <v>5.0425529479980469E-5</v>
      </c>
      <c r="AF665" s="54">
        <v>0.21573995053768161</v>
      </c>
    </row>
    <row r="666" spans="1:32" x14ac:dyDescent="0.2">
      <c r="A666" s="53" t="s">
        <v>2787</v>
      </c>
      <c r="B666" s="53" t="s">
        <v>2832</v>
      </c>
      <c r="C666" s="54" t="s">
        <v>3521</v>
      </c>
      <c r="D666" s="13" t="s">
        <v>104</v>
      </c>
      <c r="E666" s="4" t="s">
        <v>106</v>
      </c>
      <c r="F666" s="4" t="s">
        <v>105</v>
      </c>
      <c r="G666" s="15" t="s">
        <v>2022</v>
      </c>
      <c r="H666" s="4">
        <v>1542</v>
      </c>
      <c r="I666" s="5">
        <f t="shared" si="60"/>
        <v>1204.0769953359586</v>
      </c>
      <c r="J666" s="4">
        <v>3540</v>
      </c>
      <c r="K666" s="5">
        <f t="shared" si="61"/>
        <v>1911.1447271031095</v>
      </c>
      <c r="L666" s="5">
        <v>0</v>
      </c>
      <c r="M666" s="5">
        <v>0</v>
      </c>
      <c r="N666" s="4">
        <v>0</v>
      </c>
      <c r="O666" s="5">
        <f t="shared" si="62"/>
        <v>0</v>
      </c>
      <c r="P666" s="4">
        <v>0</v>
      </c>
      <c r="Q666" s="4">
        <v>0</v>
      </c>
      <c r="R666" s="4">
        <v>0</v>
      </c>
      <c r="S666" s="5">
        <f t="shared" si="63"/>
        <v>0</v>
      </c>
      <c r="T666" s="5">
        <f t="shared" si="64"/>
        <v>1.5872280049415499</v>
      </c>
      <c r="U666" s="5">
        <f t="shared" si="65"/>
        <v>0</v>
      </c>
      <c r="V666" s="4" t="s">
        <v>21</v>
      </c>
      <c r="W666" s="4" t="s">
        <v>21</v>
      </c>
      <c r="X666" s="4" t="s">
        <v>21</v>
      </c>
      <c r="Y666" s="4" t="s">
        <v>21</v>
      </c>
      <c r="Z666" s="4" t="s">
        <v>21</v>
      </c>
      <c r="AA666" s="4" t="s">
        <v>21</v>
      </c>
      <c r="AB666" s="4">
        <v>0</v>
      </c>
      <c r="AC666" s="4">
        <v>0</v>
      </c>
      <c r="AD666" s="4"/>
      <c r="AE666" s="54">
        <v>-2.7692317962646479E-4</v>
      </c>
      <c r="AF666" s="54">
        <v>-0.41229036450386047</v>
      </c>
    </row>
    <row r="667" spans="1:32" x14ac:dyDescent="0.2">
      <c r="A667" s="53" t="s">
        <v>2787</v>
      </c>
      <c r="B667" s="53" t="s">
        <v>2840</v>
      </c>
      <c r="C667" s="54" t="s">
        <v>3522</v>
      </c>
      <c r="D667" s="13" t="s">
        <v>1213</v>
      </c>
      <c r="E667" s="4" t="s">
        <v>1215</v>
      </c>
      <c r="F667" s="4" t="s">
        <v>1214</v>
      </c>
      <c r="G667" s="4" t="s">
        <v>2050</v>
      </c>
      <c r="H667" s="4">
        <v>1066</v>
      </c>
      <c r="I667" s="5">
        <f t="shared" si="60"/>
        <v>832.39045202861985</v>
      </c>
      <c r="J667" s="4">
        <v>2070</v>
      </c>
      <c r="K667" s="5">
        <f t="shared" si="61"/>
        <v>1117.5337811026659</v>
      </c>
      <c r="L667" s="5">
        <v>0</v>
      </c>
      <c r="M667" s="5">
        <v>0</v>
      </c>
      <c r="N667" s="4">
        <v>0</v>
      </c>
      <c r="O667" s="5">
        <f t="shared" si="62"/>
        <v>0</v>
      </c>
      <c r="P667" s="4">
        <v>0</v>
      </c>
      <c r="Q667" s="4">
        <v>0</v>
      </c>
      <c r="R667" s="4">
        <v>0</v>
      </c>
      <c r="S667" s="5">
        <f t="shared" si="63"/>
        <v>0</v>
      </c>
      <c r="T667" s="5">
        <f t="shared" si="64"/>
        <v>1.3425595865247166</v>
      </c>
      <c r="U667" s="5">
        <f t="shared" si="65"/>
        <v>0</v>
      </c>
      <c r="V667" s="4" t="s">
        <v>21</v>
      </c>
      <c r="W667" s="4" t="s">
        <v>21</v>
      </c>
      <c r="X667" s="4" t="s">
        <v>21</v>
      </c>
      <c r="Y667" s="4" t="s">
        <v>21</v>
      </c>
      <c r="Z667" s="4">
        <v>0</v>
      </c>
      <c r="AA667" s="4">
        <v>0</v>
      </c>
      <c r="AB667" s="4">
        <v>0</v>
      </c>
      <c r="AC667" s="4">
        <v>0</v>
      </c>
      <c r="AD667" s="4"/>
      <c r="AE667" s="54">
        <v>3.5274028778076172E-4</v>
      </c>
      <c r="AF667" s="54">
        <v>0.4680601954460144</v>
      </c>
    </row>
    <row r="668" spans="1:32" x14ac:dyDescent="0.2">
      <c r="A668" s="53" t="s">
        <v>2787</v>
      </c>
      <c r="B668" s="53" t="s">
        <v>2839</v>
      </c>
      <c r="C668" s="54" t="s">
        <v>3523</v>
      </c>
      <c r="D668" s="13" t="s">
        <v>1210</v>
      </c>
      <c r="E668" s="4" t="s">
        <v>1212</v>
      </c>
      <c r="F668" s="4" t="s">
        <v>1211</v>
      </c>
      <c r="G668" s="4" t="s">
        <v>1852</v>
      </c>
      <c r="H668" s="4">
        <v>3809</v>
      </c>
      <c r="I668" s="5">
        <f t="shared" si="60"/>
        <v>2974.2732005412881</v>
      </c>
      <c r="J668" s="4">
        <v>573</v>
      </c>
      <c r="K668" s="5">
        <f t="shared" si="61"/>
        <v>309.34630752262194</v>
      </c>
      <c r="L668" s="5">
        <v>0</v>
      </c>
      <c r="M668" s="5">
        <v>0</v>
      </c>
      <c r="N668" s="4">
        <v>0</v>
      </c>
      <c r="O668" s="5">
        <f t="shared" si="62"/>
        <v>0</v>
      </c>
      <c r="P668" s="4">
        <v>0</v>
      </c>
      <c r="Q668" s="4">
        <v>0</v>
      </c>
      <c r="R668" s="4">
        <v>0</v>
      </c>
      <c r="S668" s="5">
        <f t="shared" si="63"/>
        <v>0</v>
      </c>
      <c r="T668" s="5">
        <f t="shared" si="64"/>
        <v>0.10400736135010193</v>
      </c>
      <c r="U668" s="5">
        <f t="shared" si="65"/>
        <v>0</v>
      </c>
      <c r="V668" s="4" t="s">
        <v>21</v>
      </c>
      <c r="W668" s="4" t="s">
        <v>21</v>
      </c>
      <c r="X668" s="4" t="s">
        <v>21</v>
      </c>
      <c r="Y668" s="4" t="s">
        <v>21</v>
      </c>
      <c r="Z668" s="4">
        <v>0</v>
      </c>
      <c r="AA668" s="4">
        <v>0</v>
      </c>
      <c r="AB668" s="4">
        <v>0</v>
      </c>
      <c r="AC668" s="4">
        <v>0</v>
      </c>
      <c r="AD668" s="4"/>
      <c r="AE668" s="54">
        <v>3.2305717468261719E-5</v>
      </c>
      <c r="AF668" s="54">
        <v>0.18250791728496549</v>
      </c>
    </row>
    <row r="669" spans="1:32" x14ac:dyDescent="0.2">
      <c r="A669" s="53" t="s">
        <v>2787</v>
      </c>
      <c r="B669" s="53" t="s">
        <v>2838</v>
      </c>
      <c r="C669" s="54" t="s">
        <v>3524</v>
      </c>
      <c r="D669" s="13" t="s">
        <v>1207</v>
      </c>
      <c r="E669" s="4" t="s">
        <v>1209</v>
      </c>
      <c r="F669" s="4" t="s">
        <v>1208</v>
      </c>
      <c r="G669" s="4" t="s">
        <v>2043</v>
      </c>
      <c r="H669" s="4">
        <v>2034</v>
      </c>
      <c r="I669" s="5">
        <f t="shared" si="60"/>
        <v>1588.2572039645522</v>
      </c>
      <c r="J669" s="4">
        <v>4131</v>
      </c>
      <c r="K669" s="5">
        <f t="shared" si="61"/>
        <v>2230.2087196787979</v>
      </c>
      <c r="L669" s="5">
        <v>0</v>
      </c>
      <c r="M669" s="5">
        <v>0</v>
      </c>
      <c r="N669" s="4">
        <v>0</v>
      </c>
      <c r="O669" s="5">
        <f t="shared" si="62"/>
        <v>0</v>
      </c>
      <c r="P669" s="4">
        <v>0</v>
      </c>
      <c r="Q669" s="4">
        <v>0</v>
      </c>
      <c r="R669" s="4">
        <v>0</v>
      </c>
      <c r="S669" s="5">
        <f t="shared" si="63"/>
        <v>0</v>
      </c>
      <c r="T669" s="5">
        <f t="shared" si="64"/>
        <v>1.4041861192959357</v>
      </c>
      <c r="U669" s="5">
        <f t="shared" si="65"/>
        <v>0</v>
      </c>
      <c r="V669" s="4">
        <v>49</v>
      </c>
      <c r="W669" s="4">
        <v>-47</v>
      </c>
      <c r="X669" s="4">
        <v>-47</v>
      </c>
      <c r="Y669" s="4">
        <v>18</v>
      </c>
      <c r="Z669" s="4">
        <v>0</v>
      </c>
      <c r="AA669" s="4">
        <v>0</v>
      </c>
      <c r="AB669" s="4">
        <v>0</v>
      </c>
      <c r="AC669" s="4">
        <v>0</v>
      </c>
      <c r="AD669" s="4"/>
      <c r="AE669" s="54">
        <v>-7.6353549957275391E-5</v>
      </c>
      <c r="AF669" s="54">
        <v>-0.2484796196222305</v>
      </c>
    </row>
    <row r="670" spans="1:32" x14ac:dyDescent="0.2">
      <c r="A670" s="53" t="s">
        <v>2787</v>
      </c>
      <c r="B670" s="53" t="s">
        <v>2837</v>
      </c>
      <c r="C670" s="54" t="s">
        <v>3525</v>
      </c>
      <c r="D670" s="13" t="s">
        <v>1204</v>
      </c>
      <c r="E670" s="4" t="s">
        <v>1206</v>
      </c>
      <c r="F670" s="4" t="s">
        <v>1205</v>
      </c>
      <c r="G670" s="17" t="s">
        <v>2030</v>
      </c>
      <c r="H670" s="4">
        <v>1920</v>
      </c>
      <c r="I670" s="5">
        <f t="shared" si="60"/>
        <v>1499.2398385506099</v>
      </c>
      <c r="J670" s="4">
        <v>2665</v>
      </c>
      <c r="K670" s="5">
        <f t="shared" si="61"/>
        <v>1438.7572592457025</v>
      </c>
      <c r="L670" s="5">
        <v>0</v>
      </c>
      <c r="M670" s="5">
        <v>0</v>
      </c>
      <c r="N670" s="4">
        <v>0</v>
      </c>
      <c r="O670" s="5">
        <f t="shared" si="62"/>
        <v>0</v>
      </c>
      <c r="P670" s="4">
        <v>0</v>
      </c>
      <c r="Q670" s="4">
        <v>0</v>
      </c>
      <c r="R670" s="4">
        <v>0</v>
      </c>
      <c r="S670" s="5">
        <f t="shared" si="63"/>
        <v>0</v>
      </c>
      <c r="T670" s="5">
        <f t="shared" si="64"/>
        <v>0.95965783609153632</v>
      </c>
      <c r="U670" s="5">
        <f t="shared" si="65"/>
        <v>0</v>
      </c>
      <c r="V670" s="4">
        <v>1</v>
      </c>
      <c r="W670" s="4">
        <v>-18</v>
      </c>
      <c r="X670" s="4">
        <v>0</v>
      </c>
      <c r="Y670" s="4">
        <v>-20</v>
      </c>
      <c r="Z670" s="4">
        <v>0</v>
      </c>
      <c r="AA670" s="4">
        <v>0</v>
      </c>
      <c r="AB670" s="4">
        <v>0</v>
      </c>
      <c r="AC670" s="4">
        <v>0</v>
      </c>
      <c r="AD670" s="4"/>
      <c r="AE670" s="54">
        <v>2.1821260452270511E-4</v>
      </c>
      <c r="AF670" s="54">
        <v>0.38316118717193598</v>
      </c>
    </row>
    <row r="671" spans="1:32" x14ac:dyDescent="0.2">
      <c r="A671" s="53" t="s">
        <v>2787</v>
      </c>
      <c r="B671" s="53" t="s">
        <v>2836</v>
      </c>
      <c r="C671" s="54" t="s">
        <v>3526</v>
      </c>
      <c r="D671" s="13" t="s">
        <v>1198</v>
      </c>
      <c r="E671" s="4" t="s">
        <v>1200</v>
      </c>
      <c r="F671" s="4" t="s">
        <v>1199</v>
      </c>
      <c r="G671" s="17" t="s">
        <v>2030</v>
      </c>
      <c r="H671" s="4">
        <v>1271</v>
      </c>
      <c r="I671" s="5">
        <f t="shared" si="60"/>
        <v>992.46553895720058</v>
      </c>
      <c r="J671" s="4">
        <v>1059</v>
      </c>
      <c r="K671" s="5">
        <f t="shared" si="61"/>
        <v>571.72380395542177</v>
      </c>
      <c r="L671" s="5">
        <v>0</v>
      </c>
      <c r="M671" s="5">
        <v>0</v>
      </c>
      <c r="N671" s="4">
        <v>0</v>
      </c>
      <c r="O671" s="5">
        <f t="shared" si="62"/>
        <v>0</v>
      </c>
      <c r="P671" s="4">
        <v>0</v>
      </c>
      <c r="Q671" s="4">
        <v>0</v>
      </c>
      <c r="R671" s="4">
        <v>0</v>
      </c>
      <c r="S671" s="5">
        <f t="shared" si="63"/>
        <v>0</v>
      </c>
      <c r="T671" s="5">
        <f t="shared" si="64"/>
        <v>0.57606413675193313</v>
      </c>
      <c r="U671" s="5">
        <f t="shared" si="65"/>
        <v>0</v>
      </c>
      <c r="V671" s="4">
        <v>38</v>
      </c>
      <c r="W671" s="4">
        <v>27</v>
      </c>
      <c r="X671" s="4">
        <v>-38</v>
      </c>
      <c r="Y671" s="4">
        <v>-14</v>
      </c>
      <c r="Z671" s="4">
        <v>0</v>
      </c>
      <c r="AA671" s="4">
        <v>0</v>
      </c>
      <c r="AB671" s="4">
        <v>0</v>
      </c>
      <c r="AC671" s="4">
        <v>0</v>
      </c>
      <c r="AD671" s="4"/>
      <c r="AE671" s="54">
        <v>1.9341707229614261E-4</v>
      </c>
      <c r="AF671" s="54">
        <v>0.36330443620681763</v>
      </c>
    </row>
    <row r="672" spans="1:32" x14ac:dyDescent="0.2">
      <c r="A672" s="53" t="s">
        <v>2787</v>
      </c>
      <c r="B672" s="53" t="s">
        <v>2835</v>
      </c>
      <c r="C672" s="54" t="s">
        <v>3527</v>
      </c>
      <c r="D672" s="13" t="s">
        <v>1195</v>
      </c>
      <c r="E672" s="4" t="s">
        <v>1197</v>
      </c>
      <c r="F672" s="4" t="s">
        <v>1196</v>
      </c>
      <c r="G672" s="17" t="s">
        <v>2030</v>
      </c>
      <c r="H672" s="4">
        <v>904</v>
      </c>
      <c r="I672" s="5">
        <f t="shared" si="60"/>
        <v>705.89209065091222</v>
      </c>
      <c r="J672" s="4">
        <v>2595</v>
      </c>
      <c r="K672" s="5">
        <f t="shared" si="61"/>
        <v>1400.9662618171099</v>
      </c>
      <c r="L672" s="5">
        <v>0</v>
      </c>
      <c r="M672" s="5">
        <v>0</v>
      </c>
      <c r="N672" s="4">
        <v>0</v>
      </c>
      <c r="O672" s="5">
        <f t="shared" si="62"/>
        <v>0</v>
      </c>
      <c r="P672" s="4">
        <v>0</v>
      </c>
      <c r="Q672" s="4">
        <v>0</v>
      </c>
      <c r="R672" s="4">
        <v>0</v>
      </c>
      <c r="S672" s="5">
        <f t="shared" si="63"/>
        <v>0</v>
      </c>
      <c r="T672" s="5">
        <f t="shared" si="64"/>
        <v>1.9846748254754643</v>
      </c>
      <c r="U672" s="5">
        <f t="shared" si="65"/>
        <v>0</v>
      </c>
      <c r="V672" s="4">
        <v>-34</v>
      </c>
      <c r="W672" s="4">
        <v>48</v>
      </c>
      <c r="X672" s="4">
        <v>-34</v>
      </c>
      <c r="Y672" s="4">
        <v>26</v>
      </c>
      <c r="Z672" s="4">
        <v>0</v>
      </c>
      <c r="AA672" s="4">
        <v>0</v>
      </c>
      <c r="AB672" s="4">
        <v>0</v>
      </c>
      <c r="AC672" s="4">
        <v>0</v>
      </c>
      <c r="AD672" s="4"/>
      <c r="AE672" s="54">
        <v>-9.5099210739135742E-4</v>
      </c>
      <c r="AF672" s="54">
        <v>-0.69297832250595093</v>
      </c>
    </row>
    <row r="673" spans="1:32" x14ac:dyDescent="0.2">
      <c r="A673" s="53" t="s">
        <v>2787</v>
      </c>
      <c r="B673" s="53" t="s">
        <v>2834</v>
      </c>
      <c r="C673" s="54" t="s">
        <v>3528</v>
      </c>
      <c r="D673" s="13" t="s">
        <v>1192</v>
      </c>
      <c r="E673" s="4" t="s">
        <v>1194</v>
      </c>
      <c r="F673" s="4" t="s">
        <v>1193</v>
      </c>
      <c r="G673" s="4" t="s">
        <v>2030</v>
      </c>
      <c r="H673" s="4">
        <v>2416</v>
      </c>
      <c r="I673" s="5">
        <f t="shared" si="60"/>
        <v>1886.5434635095176</v>
      </c>
      <c r="J673" s="4">
        <v>794</v>
      </c>
      <c r="K673" s="5">
        <f t="shared" si="61"/>
        <v>428.65788511860706</v>
      </c>
      <c r="L673" s="5">
        <v>0</v>
      </c>
      <c r="M673" s="5">
        <v>0</v>
      </c>
      <c r="N673" s="4">
        <v>0</v>
      </c>
      <c r="O673" s="5">
        <f t="shared" si="62"/>
        <v>0</v>
      </c>
      <c r="P673" s="4">
        <v>0</v>
      </c>
      <c r="Q673" s="4">
        <v>0</v>
      </c>
      <c r="R673" s="4">
        <v>0</v>
      </c>
      <c r="S673" s="5">
        <f t="shared" si="63"/>
        <v>0</v>
      </c>
      <c r="T673" s="5">
        <f t="shared" si="64"/>
        <v>0.22721866387386547</v>
      </c>
      <c r="U673" s="5">
        <f t="shared" si="65"/>
        <v>0</v>
      </c>
      <c r="V673" s="4">
        <v>37</v>
      </c>
      <c r="W673" s="4">
        <v>-1</v>
      </c>
      <c r="X673" s="4">
        <v>49</v>
      </c>
      <c r="Y673" s="4">
        <v>-26</v>
      </c>
      <c r="Z673" s="4">
        <v>0</v>
      </c>
      <c r="AA673" s="4">
        <v>0</v>
      </c>
      <c r="AB673" s="4">
        <v>0</v>
      </c>
      <c r="AC673" s="4">
        <v>0</v>
      </c>
      <c r="AD673" s="4"/>
      <c r="AE673" s="54">
        <v>-5.448460578918457E-4</v>
      </c>
      <c r="AF673" s="54">
        <v>-0.55317401885986328</v>
      </c>
    </row>
    <row r="674" spans="1:32" x14ac:dyDescent="0.2">
      <c r="A674" s="53" t="s">
        <v>2787</v>
      </c>
      <c r="B674" s="53" t="s">
        <v>2833</v>
      </c>
      <c r="C674" s="54" t="s">
        <v>3529</v>
      </c>
      <c r="D674" s="13" t="s">
        <v>31</v>
      </c>
      <c r="E674" s="4" t="s">
        <v>33</v>
      </c>
      <c r="F674" s="4" t="s">
        <v>32</v>
      </c>
      <c r="G674" s="12" t="s">
        <v>2026</v>
      </c>
      <c r="H674" s="4">
        <v>1571</v>
      </c>
      <c r="I674" s="5">
        <f t="shared" si="60"/>
        <v>1226.7217637307335</v>
      </c>
      <c r="J674" s="4">
        <v>2513</v>
      </c>
      <c r="K674" s="5">
        <f t="shared" si="61"/>
        <v>1356.696807686473</v>
      </c>
      <c r="L674" s="5">
        <v>0</v>
      </c>
      <c r="M674" s="5">
        <v>0</v>
      </c>
      <c r="N674" s="4">
        <v>0</v>
      </c>
      <c r="O674" s="5">
        <f t="shared" si="62"/>
        <v>0</v>
      </c>
      <c r="P674" s="4">
        <v>0</v>
      </c>
      <c r="Q674" s="4">
        <v>0</v>
      </c>
      <c r="R674" s="4">
        <v>0</v>
      </c>
      <c r="S674" s="5">
        <f t="shared" si="63"/>
        <v>0</v>
      </c>
      <c r="T674" s="5">
        <f t="shared" si="64"/>
        <v>1.1059531572672654</v>
      </c>
      <c r="U674" s="5">
        <f t="shared" si="65"/>
        <v>0</v>
      </c>
      <c r="V674" s="4">
        <v>-17</v>
      </c>
      <c r="W674" s="4">
        <v>-16</v>
      </c>
      <c r="X674" s="4">
        <v>-17</v>
      </c>
      <c r="Y674" s="4">
        <v>-18</v>
      </c>
      <c r="Z674" s="4">
        <v>0</v>
      </c>
      <c r="AA674" s="4">
        <v>0</v>
      </c>
      <c r="AB674" s="4" t="s">
        <v>21</v>
      </c>
      <c r="AC674" s="4" t="s">
        <v>21</v>
      </c>
      <c r="AD674" s="4"/>
      <c r="AE674" s="54">
        <v>2.3931264877319339E-4</v>
      </c>
      <c r="AF674" s="54">
        <v>0.40266996622085571</v>
      </c>
    </row>
    <row r="675" spans="1:32" x14ac:dyDescent="0.2">
      <c r="A675" s="53" t="s">
        <v>3539</v>
      </c>
      <c r="B675" s="53" t="s">
        <v>2848</v>
      </c>
      <c r="C675" s="54" t="s">
        <v>3531</v>
      </c>
      <c r="D675" s="13" t="s">
        <v>1875</v>
      </c>
      <c r="E675" s="4" t="s">
        <v>1877</v>
      </c>
      <c r="F675" s="4" t="s">
        <v>1876</v>
      </c>
      <c r="G675" s="4" t="s">
        <v>2050</v>
      </c>
      <c r="H675" s="4">
        <v>650</v>
      </c>
      <c r="I675" s="5">
        <f t="shared" si="60"/>
        <v>507.55515367598775</v>
      </c>
      <c r="J675" s="4">
        <v>4630</v>
      </c>
      <c r="K675" s="5">
        <f t="shared" si="61"/>
        <v>2499.6045442054792</v>
      </c>
      <c r="L675" s="5">
        <v>0</v>
      </c>
      <c r="M675" s="5">
        <v>0</v>
      </c>
      <c r="N675" s="4">
        <v>0</v>
      </c>
      <c r="O675" s="5">
        <f t="shared" si="62"/>
        <v>0</v>
      </c>
      <c r="P675" s="4">
        <v>0</v>
      </c>
      <c r="Q675" s="4">
        <v>0</v>
      </c>
      <c r="R675" s="4">
        <v>0</v>
      </c>
      <c r="S675" s="5">
        <f t="shared" si="63"/>
        <v>0</v>
      </c>
      <c r="T675" s="5">
        <f t="shared" si="64"/>
        <v>4.9247939383572348</v>
      </c>
      <c r="U675" s="5">
        <f t="shared" si="65"/>
        <v>0</v>
      </c>
      <c r="V675" s="4" t="s">
        <v>21</v>
      </c>
      <c r="W675" s="4" t="s">
        <v>21</v>
      </c>
      <c r="X675" s="4" t="s">
        <v>21</v>
      </c>
      <c r="Y675" s="4" t="s">
        <v>21</v>
      </c>
      <c r="Z675" s="4">
        <v>0</v>
      </c>
      <c r="AA675" s="4">
        <v>0</v>
      </c>
      <c r="AB675" s="4">
        <v>0</v>
      </c>
      <c r="AC675" s="4">
        <v>0</v>
      </c>
      <c r="AD675" s="4"/>
      <c r="AE675" s="54">
        <v>4.2239189147949219E-2</v>
      </c>
      <c r="AF675" s="54">
        <v>0.99982905387878418</v>
      </c>
    </row>
    <row r="676" spans="1:32" x14ac:dyDescent="0.2">
      <c r="A676" s="53" t="s">
        <v>2850</v>
      </c>
      <c r="B676" s="53" t="s">
        <v>3541</v>
      </c>
      <c r="C676" s="13" t="s">
        <v>3540</v>
      </c>
      <c r="D676" s="8" t="s">
        <v>64</v>
      </c>
      <c r="E676" s="9" t="s">
        <v>65</v>
      </c>
      <c r="F676" s="9" t="s">
        <v>3538</v>
      </c>
      <c r="G676" s="4" t="s">
        <v>2050</v>
      </c>
      <c r="H676" s="4">
        <v>596</v>
      </c>
      <c r="I676" s="5">
        <f t="shared" si="60"/>
        <v>465.38903321675178</v>
      </c>
      <c r="J676" s="4">
        <v>3486</v>
      </c>
      <c r="K676" s="5">
        <f t="shared" si="61"/>
        <v>1881.9916719439095</v>
      </c>
      <c r="L676" s="5">
        <v>0</v>
      </c>
      <c r="M676" s="5">
        <v>0</v>
      </c>
      <c r="N676" s="4">
        <v>0</v>
      </c>
      <c r="O676" s="5">
        <f t="shared" si="62"/>
        <v>0</v>
      </c>
      <c r="P676" s="4">
        <v>0</v>
      </c>
      <c r="Q676" s="4">
        <v>0</v>
      </c>
      <c r="R676" s="4">
        <v>0</v>
      </c>
      <c r="S676" s="5">
        <f t="shared" si="63"/>
        <v>0</v>
      </c>
      <c r="T676" s="5">
        <f t="shared" si="64"/>
        <v>4.0439106588645908</v>
      </c>
      <c r="U676" s="5">
        <f t="shared" si="65"/>
        <v>0</v>
      </c>
      <c r="V676" s="4">
        <v>-130</v>
      </c>
      <c r="W676" s="4">
        <v>-497</v>
      </c>
      <c r="X676" s="4">
        <v>-6</v>
      </c>
      <c r="Y676" s="4">
        <v>22</v>
      </c>
      <c r="Z676" s="4">
        <v>7.0000000000000007E-2</v>
      </c>
      <c r="AA676" s="4">
        <v>0</v>
      </c>
      <c r="AB676" s="19">
        <v>0.43</v>
      </c>
      <c r="AC676" s="4">
        <v>7.0000000000000007E-2</v>
      </c>
      <c r="AD676" s="19"/>
      <c r="AE676" s="54"/>
      <c r="AF676" s="54"/>
    </row>
    <row r="677" spans="1:32" x14ac:dyDescent="0.2">
      <c r="C677" s="6"/>
      <c r="D677" s="38"/>
      <c r="F677" s="7"/>
      <c r="G677" s="37"/>
      <c r="H677" s="46">
        <f>SUM(H2:H676)</f>
        <v>1280649</v>
      </c>
      <c r="I677" s="47"/>
      <c r="J677" s="46">
        <f>SUM(J2:J676)</f>
        <v>1852293</v>
      </c>
      <c r="K677" s="47"/>
      <c r="L677" s="48">
        <f t="shared" ref="L677:S677" si="66">SUM(L2:L676)</f>
        <v>25</v>
      </c>
      <c r="M677" s="48">
        <f t="shared" si="66"/>
        <v>76</v>
      </c>
      <c r="N677" s="48">
        <f t="shared" si="66"/>
        <v>27</v>
      </c>
      <c r="O677" s="48">
        <f t="shared" si="66"/>
        <v>42.666666666666693</v>
      </c>
      <c r="P677" s="49">
        <f t="shared" si="66"/>
        <v>83728</v>
      </c>
      <c r="Q677" s="49">
        <f t="shared" si="66"/>
        <v>78711.400908479176</v>
      </c>
      <c r="R677" s="49">
        <f t="shared" si="66"/>
        <v>51265.1</v>
      </c>
      <c r="S677" s="49">
        <f t="shared" si="66"/>
        <v>71234.833636159616</v>
      </c>
      <c r="T677" s="36"/>
      <c r="U677" s="36"/>
      <c r="V677" s="6"/>
      <c r="W677" s="6"/>
      <c r="X677" s="6"/>
      <c r="Y677" s="6"/>
      <c r="Z677" s="6"/>
      <c r="AA677" s="6"/>
      <c r="AB677" s="6"/>
      <c r="AC677" s="6"/>
      <c r="AD677" s="6"/>
    </row>
    <row r="678" spans="1:32" x14ac:dyDescent="0.2">
      <c r="F678" s="7"/>
      <c r="H678" s="51"/>
      <c r="I678" s="60"/>
      <c r="J678" s="60"/>
      <c r="K678" s="60"/>
      <c r="L678" s="51"/>
      <c r="M678" s="51"/>
      <c r="N678" s="51"/>
      <c r="O678" s="51"/>
      <c r="P678" s="61"/>
      <c r="Q678" s="61"/>
      <c r="R678" s="61"/>
      <c r="S678" s="62"/>
      <c r="T678" s="62"/>
      <c r="U678" s="62"/>
    </row>
    <row r="679" spans="1:32" x14ac:dyDescent="0.2">
      <c r="F679" s="7"/>
      <c r="H679" s="33"/>
      <c r="I679" s="34"/>
      <c r="J679" s="33"/>
      <c r="K679" s="34"/>
      <c r="L679" s="4">
        <v>977431</v>
      </c>
      <c r="M679" s="4">
        <v>999439</v>
      </c>
      <c r="N679" s="4">
        <v>816325</v>
      </c>
      <c r="O679" s="4"/>
      <c r="P679" s="35">
        <v>1348769</v>
      </c>
      <c r="Q679" s="35">
        <v>1664547</v>
      </c>
      <c r="R679" s="35">
        <v>945958</v>
      </c>
      <c r="S679" s="62"/>
      <c r="T679" s="62"/>
      <c r="U679" s="62"/>
    </row>
    <row r="680" spans="1:32" x14ac:dyDescent="0.2">
      <c r="F680" s="7"/>
      <c r="H680" s="51"/>
      <c r="I680" s="60"/>
      <c r="J680" s="60"/>
      <c r="K680" s="60"/>
      <c r="L680" s="51"/>
      <c r="M680" s="51"/>
      <c r="N680" s="51"/>
      <c r="O680" s="51"/>
      <c r="P680" s="51"/>
      <c r="Q680" s="51"/>
      <c r="R680" s="51"/>
    </row>
    <row r="681" spans="1:32" x14ac:dyDescent="0.2">
      <c r="F681" s="7"/>
      <c r="H681" s="51"/>
      <c r="I681" s="60"/>
      <c r="J681" s="60"/>
      <c r="K681" s="60"/>
      <c r="L681" s="63">
        <f>L677/L679</f>
        <v>2.557725302348708E-5</v>
      </c>
      <c r="M681" s="63">
        <f>M677/M679</f>
        <v>7.6042659932221975E-5</v>
      </c>
      <c r="N681" s="63">
        <f>N677/N679</f>
        <v>3.3075062015741281E-5</v>
      </c>
      <c r="O681" s="64"/>
      <c r="P681" s="65">
        <f t="shared" ref="P681:R681" si="67">P677/P679</f>
        <v>6.2077346083725234E-2</v>
      </c>
      <c r="Q681" s="65">
        <f t="shared" si="67"/>
        <v>4.7286980126412276E-2</v>
      </c>
      <c r="R681" s="65">
        <f t="shared" si="67"/>
        <v>5.4193843701305977E-2</v>
      </c>
    </row>
    <row r="682" spans="1:32" x14ac:dyDescent="0.2">
      <c r="F682" s="7"/>
      <c r="H682" s="51"/>
      <c r="I682" s="60"/>
      <c r="J682" s="60"/>
      <c r="K682" s="60"/>
      <c r="L682" s="51"/>
      <c r="M682" s="51"/>
      <c r="N682" s="51"/>
      <c r="O682" s="51"/>
      <c r="P682" s="51"/>
      <c r="Q682" s="51"/>
      <c r="R682" s="51"/>
    </row>
    <row r="683" spans="1:32" x14ac:dyDescent="0.2">
      <c r="F683" s="7"/>
      <c r="H683" s="66"/>
      <c r="I683" s="67"/>
      <c r="J683" s="67"/>
      <c r="K683" s="67"/>
      <c r="L683" s="33">
        <f t="shared" ref="L683:N683" si="68">L679+L677</f>
        <v>977456</v>
      </c>
      <c r="M683" s="33">
        <f t="shared" si="68"/>
        <v>999515</v>
      </c>
      <c r="N683" s="33">
        <f t="shared" si="68"/>
        <v>816352</v>
      </c>
      <c r="O683" s="33"/>
      <c r="P683" s="33">
        <f>P679+P677</f>
        <v>1432497</v>
      </c>
      <c r="Q683" s="33">
        <f t="shared" ref="Q683:R683" si="69">Q679+Q677</f>
        <v>1743258.4009084792</v>
      </c>
      <c r="R683" s="33">
        <f t="shared" si="69"/>
        <v>997223.1</v>
      </c>
      <c r="S683" s="62"/>
      <c r="T683" s="62"/>
      <c r="U683" s="62"/>
    </row>
    <row r="684" spans="1:32" x14ac:dyDescent="0.2">
      <c r="P684" s="62"/>
      <c r="Q684" s="62"/>
      <c r="R684" s="62"/>
      <c r="S684" s="62"/>
      <c r="T684" s="62"/>
      <c r="U684" s="62"/>
    </row>
    <row r="685" spans="1:32" x14ac:dyDescent="0.2">
      <c r="P685" s="62"/>
      <c r="Q685" s="62"/>
      <c r="R685" s="62"/>
      <c r="S685" s="62"/>
      <c r="T685" s="62"/>
      <c r="U685" s="62"/>
    </row>
  </sheetData>
  <autoFilter ref="A1:AF1" xr:uid="{08CA6D7F-E1E4-0B42-B8D8-CEF55EA2E98C}"/>
  <conditionalFormatting sqref="F1:F1048576">
    <cfRule type="containsText" dxfId="1" priority="1" operator="containsText" text="GCTAGC">
      <formula>NOT(ISERROR(SEARCH("GCTAGC",F1)))</formula>
    </cfRule>
    <cfRule type="containsText" dxfId="0" priority="2" operator="containsText" text="ACCGGT">
      <formula>NOT(ISERROR(SEARCH("ACCGGT",F1)))</formula>
    </cfRule>
  </conditionalFormatting>
  <pageMargins left="0.7" right="0.7" top="0.75" bottom="0.75" header="0.3" footer="0.3"/>
  <pageSetup scale="18" fitToHeight="1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Weener, Marianna E.</dc:creator>
  <cp:lastModifiedBy>Weener, Marianna E.</cp:lastModifiedBy>
  <dcterms:created xsi:type="dcterms:W3CDTF">2026-04-28T19:55:44Z</dcterms:created>
  <dcterms:modified xsi:type="dcterms:W3CDTF">2026-04-30T07:19:56Z</dcterms:modified>
</cp:coreProperties>
</file>